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5"/>
    <sheet state="visible" name="Crop Data" sheetId="2" r:id="rId6"/>
    <sheet state="visible" name="Silage Data" sheetId="3" r:id="rId7"/>
    <sheet state="visible" name="Variables" sheetId="4" r:id="rId8"/>
  </sheets>
  <definedNames/>
  <calcPr/>
</workbook>
</file>

<file path=xl/sharedStrings.xml><?xml version="1.0" encoding="utf-8"?>
<sst xmlns="http://schemas.openxmlformats.org/spreadsheetml/2006/main" count="136" uniqueCount="90">
  <si>
    <t>Change Me ↓</t>
  </si>
  <si>
    <t>Units</t>
  </si>
  <si>
    <t>Per Hectare</t>
  </si>
  <si>
    <t>Yield Bonus</t>
  </si>
  <si>
    <t>Sell Price</t>
  </si>
  <si>
    <t>Max Seasonal</t>
  </si>
  <si>
    <t>Crop Income</t>
  </si>
  <si>
    <t>Forager Income</t>
  </si>
  <si>
    <t>NAME</t>
  </si>
  <si>
    <t>EASY</t>
  </si>
  <si>
    <t>NORMAL</t>
  </si>
  <si>
    <t>HARD</t>
  </si>
  <si>
    <t>M³</t>
  </si>
  <si>
    <t>TONS</t>
  </si>
  <si>
    <t>Barley</t>
  </si>
  <si>
    <t>Barley Silage</t>
  </si>
  <si>
    <t>Beet Root</t>
  </si>
  <si>
    <t>Canola Silage</t>
  </si>
  <si>
    <t>Canola</t>
  </si>
  <si>
    <t>Corn Silage</t>
  </si>
  <si>
    <t>Carrot</t>
  </si>
  <si>
    <t>Oat Silage</t>
  </si>
  <si>
    <t>Corn</t>
  </si>
  <si>
    <t>Sorghum Silage</t>
  </si>
  <si>
    <t>Cotton</t>
  </si>
  <si>
    <t>Soybean Silage</t>
  </si>
  <si>
    <t>Grape</t>
  </si>
  <si>
    <t>Sunflower Silage</t>
  </si>
  <si>
    <t>Green Bean</t>
  </si>
  <si>
    <t>Wheat Silage</t>
  </si>
  <si>
    <t>Oat</t>
  </si>
  <si>
    <t>Grass Silage</t>
  </si>
  <si>
    <t>Olive</t>
  </si>
  <si>
    <t>Grass Silage 2x</t>
  </si>
  <si>
    <t>Parsnip</t>
  </si>
  <si>
    <t>Grass Silage 3x</t>
  </si>
  <si>
    <t>Pea</t>
  </si>
  <si>
    <t>Grass Silage 4x</t>
  </si>
  <si>
    <t>Potato</t>
  </si>
  <si>
    <t>Poplar (Woodchips)</t>
  </si>
  <si>
    <t>Rice (Long)</t>
  </si>
  <si>
    <t>Rice (Short)</t>
  </si>
  <si>
    <t>NOTES</t>
  </si>
  <si>
    <t>Sorghum</t>
  </si>
  <si>
    <t>This does not account for using mods.</t>
  </si>
  <si>
    <t>Soybean</t>
  </si>
  <si>
    <t>This does not account for how many hours of work are required to grow, harvest, transport and sell your crops. *</t>
  </si>
  <si>
    <t>Spinach</t>
  </si>
  <si>
    <t>--* (That would require extensive testing and would vary based on the skill of the driver etc.. If someone wants to do this testing, please let me know.)</t>
  </si>
  <si>
    <t>Sugarbeet</t>
  </si>
  <si>
    <t>There are myriad other costs and factors not taken in to account here that can affect your gameplay and outcomes.</t>
  </si>
  <si>
    <t>Sugarcane</t>
  </si>
  <si>
    <t>M³ means meters cubed, aka cubic meters, the same as 1000 Liters. This is the unit listed for tipper trailer capacity in game.</t>
  </si>
  <si>
    <t>Sunflower</t>
  </si>
  <si>
    <t>The poplar figures assume a forage harvester when harvesting poplar woodchips which gives a 3x multiplier to the base yield.</t>
  </si>
  <si>
    <t>Wheat</t>
  </si>
  <si>
    <t>This does not account for added value from production chains. There is already a tool for that.</t>
  </si>
  <si>
    <t>Grass</t>
  </si>
  <si>
    <t>Just because poplar has a base yield of 6.627 per square meter in the game files, doesn't mean you'll plant it that densely, or that this will be your real yield.</t>
  </si>
  <si>
    <t>Grass 2x</t>
  </si>
  <si>
    <t>This does not account for seed costs. Most seed costs are generally low, in the $25 to $150 per acre range, but not all crops are seeded.</t>
  </si>
  <si>
    <t>Grass 3x</t>
  </si>
  <si>
    <t>The prices you see are generally the amount of money you can expect to make, per acre, per harvest, assuming you harvest one acre once per year, but you may harvest more or less often than that.</t>
  </si>
  <si>
    <t>Grass 4x</t>
  </si>
  <si>
    <t>This only generally considers the standard seasons based gameplay such that most crops may only be harvested once per year.</t>
  </si>
  <si>
    <t>Spinach 2x</t>
  </si>
  <si>
    <t>Some crops like grass and spinach may be harvested multiple times per year, but this also increases your amount of work per year.</t>
  </si>
  <si>
    <t>Silage price stays the same, unlike crop prices which change on a monthly basis. Crop price fluctuation is fixed, it will follow the same pattern every year.</t>
  </si>
  <si>
    <t>The Baseline price is approximately the average selling price, with a scalar value of one.</t>
  </si>
  <si>
    <t>The Max Seasonal price uses the maximum yearly price. This varies per crop. This assumes you can store your grain and wait to sell it until the price it at its maximum.</t>
  </si>
  <si>
    <t>You can easily still end up getting less money than baseline if you sell at a lower than average seasonal price.</t>
  </si>
  <si>
    <t>You get a yield bonus for fertilizing, liming, weeding, etc., your exact bonus is likely to vary. Yield bonus goes up to +100% in the base game but only +25% with Precision Farming.</t>
  </si>
  <si>
    <t>Easy, normal and hard represent the economic difficulty settings of the same names.</t>
  </si>
  <si>
    <t>This data comes from the official, unaltered, base game data XML files for Farming Simulator 25.</t>
  </si>
  <si>
    <t>LICENSE</t>
  </si>
  <si>
    <t>This work is contributed into the public domain. You may copy, share or do anything you want with this, without giving the author credit. By using this work, you do so at your own risk, and you agree to release the author from all liability for any damages arising from or relating to your use of this work.</t>
  </si>
  <si>
    <t>YIELD</t>
  </si>
  <si>
    <t>PRICE</t>
  </si>
  <si>
    <t>MAX_PRICE</t>
  </si>
  <si>
    <t>SEED</t>
  </si>
  <si>
    <t>WEIGHT</t>
  </si>
  <si>
    <t>CHAFF</t>
  </si>
  <si>
    <t>Poplar</t>
  </si>
  <si>
    <t>VALUE</t>
  </si>
  <si>
    <t>Unit Multiplier</t>
  </si>
  <si>
    <t>Yield With Bonus</t>
  </si>
  <si>
    <t>Silage Price</t>
  </si>
  <si>
    <t>Chaff Weight</t>
  </si>
  <si>
    <t>Seed Price</t>
  </si>
  <si>
    <t>Grass Weight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</si>
</sst>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5">
    <font>
      <sz val="10.0"/>
      <color rgb="FF000000"/>
      <name val="Arial"/>
      <scheme val="minor"/>
    </font>
    <font>
      <color theme="1"/>
      <name val="Arial"/>
      <scheme val="minor"/>
    </font>
    <font>
      <b/>
      <color theme="1"/>
      <name val="Arial"/>
      <scheme val="minor"/>
    </font>
    <font/>
    <font>
      <i/>
      <color theme="1"/>
      <name val="Arial"/>
      <scheme val="minor"/>
    </font>
  </fonts>
  <fills count="6">
    <fill>
      <patternFill patternType="none"/>
    </fill>
    <fill>
      <patternFill patternType="lightGray"/>
    </fill>
    <fill>
      <patternFill patternType="solid">
        <fgColor rgb="FFFFF2CC"/>
        <bgColor rgb="FFFFF2CC"/>
      </patternFill>
    </fill>
    <fill>
      <patternFill patternType="solid">
        <fgColor rgb="FFD9EAD3"/>
        <bgColor rgb="FFD9EAD3"/>
      </patternFill>
    </fill>
    <fill>
      <patternFill patternType="solid">
        <fgColor rgb="FFD9D9D9"/>
        <bgColor rgb="FFD9D9D9"/>
      </patternFill>
    </fill>
    <fill>
      <patternFill patternType="solid">
        <fgColor rgb="FFD9D2E9"/>
        <bgColor rgb="FFD9D2E9"/>
      </patternFill>
    </fill>
  </fills>
  <borders count="8">
    <border/>
    <border>
      <left style="thin">
        <color rgb="FF000000"/>
      </left>
      <top style="thin">
        <color rgb="FF000000"/>
      </top>
      <bottom style="thin">
        <color rgb="FF000000"/>
      </bottom>
    </border>
    <border>
      <left style="dotted">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dotted">
        <color rgb="FF000000"/>
      </bottom>
    </border>
    <border>
      <left style="thin">
        <color rgb="FF000000"/>
      </left>
      <right style="thin">
        <color rgb="FF000000"/>
      </right>
      <top style="dotted">
        <color rgb="FF000000"/>
      </top>
      <bottom style="dotted">
        <color rgb="FF000000"/>
      </bottom>
    </border>
    <border>
      <left style="thin">
        <color rgb="FF000000"/>
      </left>
      <right style="thin">
        <color rgb="FF000000"/>
      </right>
      <top style="dotted">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horizontal="center" readingOrder="0"/>
    </xf>
    <xf borderId="1" fillId="2" fontId="2" numFmtId="0" xfId="0" applyAlignment="1" applyBorder="1" applyFill="1" applyFont="1">
      <alignment horizontal="right" readingOrder="0"/>
    </xf>
    <xf borderId="2" fillId="2" fontId="1" numFmtId="0" xfId="0" applyAlignment="1" applyBorder="1" applyFont="1">
      <alignment readingOrder="0"/>
    </xf>
    <xf borderId="1" fillId="2" fontId="2" numFmtId="0" xfId="0" applyAlignment="1" applyBorder="1" applyFont="1">
      <alignment horizontal="right"/>
    </xf>
    <xf borderId="2" fillId="2" fontId="1" numFmtId="0" xfId="0" applyAlignment="1" applyBorder="1" applyFont="1">
      <alignment horizontal="left" readingOrder="0"/>
    </xf>
    <xf borderId="2" fillId="2" fontId="1" numFmtId="10" xfId="0" applyAlignment="1" applyBorder="1" applyFont="1" applyNumberFormat="1">
      <alignment horizontal="left" readingOrder="0"/>
    </xf>
    <xf borderId="3" fillId="2" fontId="2" numFmtId="0" xfId="0" applyAlignment="1" applyBorder="1" applyFont="1">
      <alignment horizontal="right" readingOrder="0"/>
    </xf>
    <xf borderId="1" fillId="3" fontId="2" numFmtId="0" xfId="0" applyAlignment="1" applyBorder="1" applyFill="1" applyFont="1">
      <alignment horizontal="center" readingOrder="0"/>
    </xf>
    <xf borderId="3" fillId="0" fontId="3" numFmtId="0" xfId="0" applyBorder="1" applyFont="1"/>
    <xf borderId="4" fillId="0" fontId="3" numFmtId="0" xfId="0" applyBorder="1" applyFont="1"/>
    <xf borderId="0" fillId="0" fontId="4" numFmtId="0" xfId="0" applyAlignment="1" applyFont="1">
      <alignment horizontal="center" readingOrder="0"/>
    </xf>
    <xf borderId="1" fillId="4" fontId="2" numFmtId="0" xfId="0" applyAlignment="1" applyBorder="1" applyFill="1" applyFont="1">
      <alignment horizontal="center" readingOrder="0"/>
    </xf>
    <xf borderId="3" fillId="4" fontId="2" numFmtId="0" xfId="0" applyAlignment="1" applyBorder="1" applyFont="1">
      <alignment horizontal="center" readingOrder="0"/>
    </xf>
    <xf borderId="4" fillId="4" fontId="2" numFmtId="0" xfId="0" applyAlignment="1" applyBorder="1" applyFont="1">
      <alignment horizontal="center" readingOrder="0"/>
    </xf>
    <xf borderId="5" fillId="0" fontId="1" numFmtId="0" xfId="0" applyAlignment="1" applyBorder="1" applyFont="1">
      <alignment readingOrder="0"/>
    </xf>
    <xf borderId="5" fillId="0" fontId="1" numFmtId="164" xfId="0" applyBorder="1" applyFont="1" applyNumberFormat="1"/>
    <xf borderId="5" fillId="0" fontId="1" numFmtId="4" xfId="0" applyBorder="1" applyFont="1" applyNumberFormat="1"/>
    <xf borderId="6" fillId="0" fontId="1" numFmtId="0" xfId="0" applyAlignment="1" applyBorder="1" applyFont="1">
      <alignment readingOrder="0"/>
    </xf>
    <xf borderId="6" fillId="0" fontId="1" numFmtId="164" xfId="0" applyBorder="1" applyFont="1" applyNumberFormat="1"/>
    <xf borderId="6" fillId="0" fontId="1" numFmtId="4" xfId="0" applyBorder="1" applyFont="1" applyNumberFormat="1"/>
    <xf borderId="5" fillId="0" fontId="1" numFmtId="4" xfId="0" applyAlignment="1" applyBorder="1" applyFont="1" applyNumberFormat="1">
      <alignment readingOrder="0"/>
    </xf>
    <xf borderId="7" fillId="0" fontId="1" numFmtId="0" xfId="0" applyAlignment="1" applyBorder="1" applyFont="1">
      <alignment readingOrder="0"/>
    </xf>
    <xf borderId="7" fillId="0" fontId="1" numFmtId="164" xfId="0" applyBorder="1" applyFont="1" applyNumberFormat="1"/>
    <xf borderId="7" fillId="0" fontId="1" numFmtId="4" xfId="0" applyBorder="1" applyFont="1" applyNumberFormat="1"/>
    <xf borderId="0" fillId="0" fontId="1" numFmtId="0" xfId="0" applyAlignment="1" applyFont="1">
      <alignment readingOrder="0"/>
    </xf>
    <xf borderId="1" fillId="5" fontId="2" numFmtId="0" xfId="0" applyAlignment="1" applyBorder="1" applyFill="1" applyFont="1">
      <alignment readingOrder="0"/>
    </xf>
    <xf borderId="3" fillId="5" fontId="1" numFmtId="0" xfId="0" applyBorder="1" applyFont="1"/>
    <xf borderId="4" fillId="5" fontId="1" numFmtId="0" xfId="0" applyBorder="1" applyFont="1"/>
    <xf borderId="0" fillId="0" fontId="4" numFmtId="0" xfId="0" applyAlignment="1" applyFont="1">
      <alignment readingOrder="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88"/>
    <col customWidth="1" min="2" max="2" width="15.75"/>
    <col customWidth="1" min="3" max="3" width="16.38"/>
    <col customWidth="1" min="4" max="4" width="13.88"/>
    <col customWidth="1" min="5" max="5" width="13.5"/>
    <col customWidth="1" min="6" max="6" width="11.63"/>
    <col customWidth="1" min="7" max="7" width="12.0"/>
    <col customWidth="1" min="8" max="8" width="9.88"/>
    <col customWidth="1" min="9" max="9" width="19.38"/>
    <col customWidth="1" min="10" max="10" width="13.63"/>
    <col customWidth="1" min="11" max="11" width="13.5"/>
    <col customWidth="1" min="12" max="12" width="13.63"/>
    <col customWidth="1" min="13" max="13" width="10.63"/>
    <col customWidth="1" min="14" max="14" width="11.5"/>
  </cols>
  <sheetData>
    <row r="1">
      <c r="C1" s="1" t="s">
        <v>0</v>
      </c>
      <c r="E1" s="1" t="s">
        <v>0</v>
      </c>
      <c r="G1" s="1" t="s">
        <v>0</v>
      </c>
      <c r="I1" s="1" t="s">
        <v>0</v>
      </c>
    </row>
    <row r="2">
      <c r="B2" s="2" t="s">
        <v>1</v>
      </c>
      <c r="C2" s="3" t="s">
        <v>2</v>
      </c>
      <c r="D2" s="4" t="str">
        <f>if($C$2="Per Acre","Num Acres","Num Hectares")</f>
        <v>Num Hectares</v>
      </c>
      <c r="E2" s="5">
        <v>1.0</v>
      </c>
      <c r="F2" s="2" t="s">
        <v>3</v>
      </c>
      <c r="G2" s="6">
        <v>0.425</v>
      </c>
      <c r="H2" s="7" t="s">
        <v>4</v>
      </c>
      <c r="I2" s="3" t="s">
        <v>5</v>
      </c>
    </row>
    <row r="4">
      <c r="B4" s="8" t="s">
        <v>6</v>
      </c>
      <c r="C4" s="9"/>
      <c r="D4" s="9"/>
      <c r="E4" s="9"/>
      <c r="F4" s="9"/>
      <c r="G4" s="10"/>
      <c r="I4" s="8" t="s">
        <v>7</v>
      </c>
      <c r="J4" s="9"/>
      <c r="K4" s="9"/>
      <c r="L4" s="9"/>
      <c r="M4" s="9"/>
      <c r="N4" s="10"/>
    </row>
    <row r="5">
      <c r="F5" s="11"/>
      <c r="M5" s="11"/>
    </row>
    <row r="6">
      <c r="B6" s="12" t="s">
        <v>8</v>
      </c>
      <c r="C6" s="13" t="s">
        <v>9</v>
      </c>
      <c r="D6" s="13" t="s">
        <v>10</v>
      </c>
      <c r="E6" s="13" t="s">
        <v>11</v>
      </c>
      <c r="F6" s="13" t="s">
        <v>12</v>
      </c>
      <c r="G6" s="14" t="s">
        <v>13</v>
      </c>
      <c r="I6" s="12" t="s">
        <v>8</v>
      </c>
      <c r="J6" s="13" t="s">
        <v>9</v>
      </c>
      <c r="K6" s="13" t="s">
        <v>10</v>
      </c>
      <c r="L6" s="13" t="s">
        <v>11</v>
      </c>
      <c r="M6" s="13" t="s">
        <v>12</v>
      </c>
      <c r="N6" s="14" t="s">
        <v>13</v>
      </c>
    </row>
    <row r="7">
      <c r="B7" s="15" t="s">
        <v>14</v>
      </c>
      <c r="C7" s="16">
        <f t="shared" ref="C7:C33" si="1">product(E7,3)</f>
        <v>15543.0792</v>
      </c>
      <c r="D7" s="16">
        <f t="shared" ref="D7:D33" si="2">product(E7,1.8)</f>
        <v>9325.84752</v>
      </c>
      <c r="E7" s="16">
        <f>product('Crop Data'!B2,'Crop Data'!C2,if($I$2="Baseline",1,'Crop Data'!D2),$E$2,Variables!$B$2,Variables!$B$3)</f>
        <v>5181.0264</v>
      </c>
      <c r="F7" s="17">
        <f>product(product('Crop Data'!B2,$E$2,Variables!$B$2,Variables!$B$3),0.001)</f>
        <v>13.68</v>
      </c>
      <c r="G7" s="17">
        <f>product(F7,'Crop Data'!F2)</f>
        <v>9.3024</v>
      </c>
      <c r="I7" s="15" t="s">
        <v>15</v>
      </c>
      <c r="J7" s="16">
        <f t="shared" ref="J7:J19" si="3">product(L7,3)</f>
        <v>19863.36</v>
      </c>
      <c r="K7" s="16">
        <f t="shared" ref="K7:K19" si="4">product(L7,1.8)</f>
        <v>11918.016</v>
      </c>
      <c r="L7" s="16">
        <f>product('Silage Data'!B2,'Silage Data'!C2,$E$2,Variables!$B$2,Variables!$B$3,Variables!$B$4)</f>
        <v>6621.12</v>
      </c>
      <c r="M7" s="17">
        <f>product(product('Silage Data'!B2,'Silage Data'!C2,$E$2,Variables!$B$2,Variables!$B$3),0.001)</f>
        <v>54.72</v>
      </c>
      <c r="N7" s="17">
        <f>product(M7,Variables!$B$5)</f>
        <v>16.416</v>
      </c>
    </row>
    <row r="8">
      <c r="B8" s="18" t="s">
        <v>16</v>
      </c>
      <c r="C8" s="19">
        <f t="shared" si="1"/>
        <v>34667.4285</v>
      </c>
      <c r="D8" s="19">
        <f t="shared" si="2"/>
        <v>20800.4571</v>
      </c>
      <c r="E8" s="19">
        <f>product('Crop Data'!B3,'Crop Data'!C3,if($I$2="Baseline",1,'Crop Data'!D3),$E$2,Variables!$B$2,Variables!$B$3)</f>
        <v>11555.8095</v>
      </c>
      <c r="F8" s="17">
        <f>product(product('Crop Data'!B3,$E$2,Variables!$B$2,Variables!$B$3),0.001)</f>
        <v>82.365</v>
      </c>
      <c r="G8" s="20">
        <f>product(F8,'Crop Data'!F3)</f>
        <v>42.8298</v>
      </c>
      <c r="I8" s="18" t="s">
        <v>17</v>
      </c>
      <c r="J8" s="19">
        <f t="shared" si="3"/>
        <v>12000.78</v>
      </c>
      <c r="K8" s="19">
        <f t="shared" si="4"/>
        <v>7200.468</v>
      </c>
      <c r="L8" s="19">
        <f>product('Silage Data'!B3,'Silage Data'!C3,$E$2,Variables!$B$2,Variables!$B$3,Variables!$B$4)</f>
        <v>4000.26</v>
      </c>
      <c r="M8" s="17">
        <f>product(product('Silage Data'!B3,'Silage Data'!C3,$E$2,Variables!$B$2,Variables!$B$3),0.001)</f>
        <v>33.06</v>
      </c>
      <c r="N8" s="20">
        <f>product(M8,Variables!$B$5)</f>
        <v>9.918</v>
      </c>
    </row>
    <row r="9">
      <c r="B9" s="18" t="s">
        <v>18</v>
      </c>
      <c r="C9" s="19">
        <f t="shared" si="1"/>
        <v>18091.17585</v>
      </c>
      <c r="D9" s="19">
        <f t="shared" si="2"/>
        <v>10854.70551</v>
      </c>
      <c r="E9" s="19">
        <f>product('Crop Data'!B4,'Crop Data'!C4,if($I$2="Baseline",1,'Crop Data'!D4),$E$2,Variables!$B$2,Variables!$B$3)</f>
        <v>6030.39195</v>
      </c>
      <c r="F9" s="17">
        <f>product(product('Crop Data'!B4,$E$2,Variables!$B$2,Variables!$B$3),0.001)</f>
        <v>8.265</v>
      </c>
      <c r="G9" s="20">
        <f>product(F9,'Crop Data'!F4)</f>
        <v>4.959</v>
      </c>
      <c r="I9" s="18" t="s">
        <v>19</v>
      </c>
      <c r="J9" s="19">
        <f t="shared" si="3"/>
        <v>37119.654</v>
      </c>
      <c r="K9" s="19">
        <f t="shared" si="4"/>
        <v>22271.7924</v>
      </c>
      <c r="L9" s="19">
        <f>product('Silage Data'!B4,'Silage Data'!C4,$E$2,Variables!$B$2,Variables!$B$3,Variables!$B$4)</f>
        <v>12373.218</v>
      </c>
      <c r="M9" s="17">
        <f>product(product('Silage Data'!B4,'Silage Data'!C4,$E$2,Variables!$B$2,Variables!$B$3),0.001)</f>
        <v>102.258</v>
      </c>
      <c r="N9" s="20">
        <f>product(M9,Variables!$B$5)</f>
        <v>30.6774</v>
      </c>
    </row>
    <row r="10">
      <c r="B10" s="18" t="s">
        <v>20</v>
      </c>
      <c r="C10" s="19">
        <f t="shared" si="1"/>
        <v>49968.765</v>
      </c>
      <c r="D10" s="19">
        <f t="shared" si="2"/>
        <v>29981.259</v>
      </c>
      <c r="E10" s="19">
        <f>product('Crop Data'!B5,'Crop Data'!C5,if($I$2="Baseline",1,'Crop Data'!D5),$E$2,Variables!$B$2,Variables!$B$3)</f>
        <v>16656.255</v>
      </c>
      <c r="F10" s="17">
        <f>product(product('Crop Data'!B5,$E$2,Variables!$B$2,Variables!$B$3),0.001)</f>
        <v>109.725</v>
      </c>
      <c r="G10" s="20">
        <f>product(F10,'Crop Data'!F5)</f>
        <v>70.224</v>
      </c>
      <c r="I10" s="18" t="s">
        <v>21</v>
      </c>
      <c r="J10" s="19">
        <f t="shared" si="3"/>
        <v>11793.87</v>
      </c>
      <c r="K10" s="19">
        <f t="shared" si="4"/>
        <v>7076.322</v>
      </c>
      <c r="L10" s="19">
        <f>product('Silage Data'!B5,'Silage Data'!C5,$E$2,Variables!$B$2,Variables!$B$3,Variables!$B$4)</f>
        <v>3931.29</v>
      </c>
      <c r="M10" s="17">
        <f>product(product('Silage Data'!B5,'Silage Data'!C5,$E$2,Variables!$B$2,Variables!$B$3),0.001)</f>
        <v>32.49</v>
      </c>
      <c r="N10" s="20">
        <f>product(M10,Variables!$B$5)</f>
        <v>9.747</v>
      </c>
    </row>
    <row r="11">
      <c r="B11" s="18" t="s">
        <v>22</v>
      </c>
      <c r="C11" s="19">
        <f t="shared" si="1"/>
        <v>19877.382</v>
      </c>
      <c r="D11" s="19">
        <f t="shared" si="2"/>
        <v>11926.4292</v>
      </c>
      <c r="E11" s="19">
        <f>product('Crop Data'!B6,'Crop Data'!C6,if($I$2="Baseline",1,'Crop Data'!D6),$E$2,Variables!$B$2,Variables!$B$3)</f>
        <v>6625.794</v>
      </c>
      <c r="F11" s="17">
        <f>product(product('Crop Data'!B6,$E$2,Variables!$B$2,Variables!$B$3),0.001)</f>
        <v>13.11</v>
      </c>
      <c r="G11" s="20">
        <f>product(F11,'Crop Data'!F6)</f>
        <v>10.488</v>
      </c>
      <c r="I11" s="18" t="s">
        <v>23</v>
      </c>
      <c r="J11" s="19">
        <f t="shared" si="3"/>
        <v>16966.62</v>
      </c>
      <c r="K11" s="19">
        <f t="shared" si="4"/>
        <v>10179.972</v>
      </c>
      <c r="L11" s="19">
        <f>product('Silage Data'!B6,'Silage Data'!C6,$E$2,Variables!$B$2,Variables!$B$3,Variables!$B$4)</f>
        <v>5655.54</v>
      </c>
      <c r="M11" s="17">
        <f>product(product('Silage Data'!B6,'Silage Data'!C6,$E$2,Variables!$B$2,Variables!$B$3),0.001)</f>
        <v>46.74</v>
      </c>
      <c r="N11" s="20">
        <f>product(M11,Variables!$B$5)</f>
        <v>14.022</v>
      </c>
    </row>
    <row r="12">
      <c r="B12" s="18" t="s">
        <v>24</v>
      </c>
      <c r="C12" s="19">
        <f t="shared" si="1"/>
        <v>29527.03341</v>
      </c>
      <c r="D12" s="19">
        <f t="shared" si="2"/>
        <v>17716.22005</v>
      </c>
      <c r="E12" s="19">
        <f>product('Crop Data'!B7,'Crop Data'!C7,if($I$2="Baseline",1,'Crop Data'!D7),$E$2,Variables!$B$2,Variables!$B$3)</f>
        <v>9842.34447</v>
      </c>
      <c r="F12" s="17">
        <f>product(product('Crop Data'!B7,$E$2,Variables!$B$2,Variables!$B$3),0.001)</f>
        <v>7.08225</v>
      </c>
      <c r="G12" s="20">
        <f>product(F12,'Crop Data'!F7)</f>
        <v>1.6289175</v>
      </c>
      <c r="I12" s="18" t="s">
        <v>25</v>
      </c>
      <c r="J12" s="19">
        <f t="shared" si="3"/>
        <v>9310.95</v>
      </c>
      <c r="K12" s="19">
        <f t="shared" si="4"/>
        <v>5586.57</v>
      </c>
      <c r="L12" s="19">
        <f>product('Silage Data'!B7,'Silage Data'!C7,$E$2,Variables!$B$2,Variables!$B$3,Variables!$B$4)</f>
        <v>3103.65</v>
      </c>
      <c r="M12" s="17">
        <f>product(product('Silage Data'!B7,'Silage Data'!C7,$E$2,Variables!$B$2,Variables!$B$3),0.001)</f>
        <v>25.65</v>
      </c>
      <c r="N12" s="20">
        <f>product(M12,Variables!$B$5)</f>
        <v>7.695</v>
      </c>
    </row>
    <row r="13">
      <c r="B13" s="18" t="s">
        <v>26</v>
      </c>
      <c r="C13" s="19">
        <f t="shared" si="1"/>
        <v>56918.376</v>
      </c>
      <c r="D13" s="19">
        <f t="shared" si="2"/>
        <v>34151.0256</v>
      </c>
      <c r="E13" s="19">
        <f>product('Crop Data'!B8,'Crop Data'!C8,if($I$2="Baseline",1,'Crop Data'!D8),$E$2,Variables!$B$2,Variables!$B$3)</f>
        <v>18972.792</v>
      </c>
      <c r="F13" s="17">
        <f>product(product('Crop Data'!B8,$E$2,Variables!$B$2,Variables!$B$3),0.001)</f>
        <v>26.22</v>
      </c>
      <c r="G13" s="20">
        <f>product(F13,'Crop Data'!F8)</f>
        <v>15.732</v>
      </c>
      <c r="I13" s="18" t="s">
        <v>27</v>
      </c>
      <c r="J13" s="19">
        <f t="shared" si="3"/>
        <v>16138.98</v>
      </c>
      <c r="K13" s="19">
        <f t="shared" si="4"/>
        <v>9683.388</v>
      </c>
      <c r="L13" s="19">
        <f>product('Silage Data'!B8,'Silage Data'!C8,$E$2,Variables!$B$2,Variables!$B$3,Variables!$B$4)</f>
        <v>5379.66</v>
      </c>
      <c r="M13" s="17">
        <f>product(product('Silage Data'!B8,'Silage Data'!C8,$E$2,Variables!$B$2,Variables!$B$3),0.001)</f>
        <v>44.46</v>
      </c>
      <c r="N13" s="20">
        <f>product(M13,Variables!$B$5)</f>
        <v>13.338</v>
      </c>
    </row>
    <row r="14">
      <c r="B14" s="18" t="s">
        <v>28</v>
      </c>
      <c r="C14" s="19">
        <f t="shared" si="1"/>
        <v>22542.5025</v>
      </c>
      <c r="D14" s="19">
        <f t="shared" si="2"/>
        <v>13525.5015</v>
      </c>
      <c r="E14" s="19">
        <f>product('Crop Data'!B9,'Crop Data'!C9,if($I$2="Baseline",1,'Crop Data'!D9),$E$2,Variables!$B$2,Variables!$B$3)</f>
        <v>7514.1675</v>
      </c>
      <c r="F14" s="17">
        <f>product(product('Crop Data'!B9,$E$2,Variables!$B$2,Variables!$B$3),0.001)</f>
        <v>9.939375</v>
      </c>
      <c r="G14" s="20">
        <f>product(F14,'Crop Data'!F9)</f>
        <v>4.1745375</v>
      </c>
      <c r="I14" s="18" t="s">
        <v>29</v>
      </c>
      <c r="J14" s="19">
        <f t="shared" si="3"/>
        <v>18414.99</v>
      </c>
      <c r="K14" s="19">
        <f t="shared" si="4"/>
        <v>11048.994</v>
      </c>
      <c r="L14" s="19">
        <f>product('Silage Data'!B9,'Silage Data'!C9,$E$2,Variables!$B$2,Variables!$B$3,Variables!$B$4)</f>
        <v>6138.33</v>
      </c>
      <c r="M14" s="17">
        <f>product(product('Silage Data'!B9,'Silage Data'!C9,$E$2,Variables!$B$2,Variables!$B$3),0.001)</f>
        <v>50.73</v>
      </c>
      <c r="N14" s="20">
        <f>product(M14,Variables!$B$5)</f>
        <v>15.219</v>
      </c>
    </row>
    <row r="15">
      <c r="B15" s="18" t="s">
        <v>30</v>
      </c>
      <c r="C15" s="19">
        <f t="shared" si="1"/>
        <v>15685.8471</v>
      </c>
      <c r="D15" s="19">
        <f t="shared" si="2"/>
        <v>9411.50826</v>
      </c>
      <c r="E15" s="19">
        <f>product('Crop Data'!B10,'Crop Data'!C10,if($I$2="Baseline",1,'Crop Data'!D10),$E$2,Variables!$B$2,Variables!$B$3)</f>
        <v>5228.6157</v>
      </c>
      <c r="F15" s="21">
        <v>5.0</v>
      </c>
      <c r="G15" s="20">
        <f>product(F15,'Crop Data'!F10)</f>
        <v>2.5</v>
      </c>
      <c r="I15" s="18" t="s">
        <v>31</v>
      </c>
      <c r="J15" s="19">
        <f t="shared" si="3"/>
        <v>22604.9175</v>
      </c>
      <c r="K15" s="19">
        <f t="shared" si="4"/>
        <v>13562.9505</v>
      </c>
      <c r="L15" s="19">
        <f>product('Silage Data'!B10,'Silage Data'!C10,$E$2,Variables!$B$2,Variables!$B$3,Variables!$B$4)</f>
        <v>7534.9725</v>
      </c>
      <c r="M15" s="17">
        <f>product(product('Silage Data'!B10,'Silage Data'!C10,$E$2,Variables!$B$2,Variables!$B$3),0.001)</f>
        <v>62.2725</v>
      </c>
      <c r="N15" s="20">
        <f>product(M15,Variables!$B$5)</f>
        <v>18.68175</v>
      </c>
    </row>
    <row r="16">
      <c r="B16" s="18" t="s">
        <v>32</v>
      </c>
      <c r="C16" s="19">
        <f t="shared" si="1"/>
        <v>56918.376</v>
      </c>
      <c r="D16" s="19">
        <f t="shared" si="2"/>
        <v>34151.0256</v>
      </c>
      <c r="E16" s="19">
        <f>product('Crop Data'!B11,'Crop Data'!C11,if($I$2="Baseline",1,'Crop Data'!D11),$E$2,Variables!$B$2,Variables!$B$3)</f>
        <v>18972.792</v>
      </c>
      <c r="F16" s="17">
        <f>product(product('Crop Data'!B11,$E$2,Variables!$B$2,Variables!$B$3),0.001)</f>
        <v>26.22</v>
      </c>
      <c r="G16" s="20">
        <f>product(F16,'Crop Data'!F11)</f>
        <v>15.732</v>
      </c>
      <c r="I16" s="18" t="s">
        <v>33</v>
      </c>
      <c r="J16" s="19">
        <f t="shared" si="3"/>
        <v>45209.835</v>
      </c>
      <c r="K16" s="19">
        <f t="shared" si="4"/>
        <v>27125.901</v>
      </c>
      <c r="L16" s="19">
        <f t="shared" ref="L16:N16" si="5">product(L15,2)</f>
        <v>15069.945</v>
      </c>
      <c r="M16" s="20">
        <f t="shared" si="5"/>
        <v>124.545</v>
      </c>
      <c r="N16" s="20">
        <f t="shared" si="5"/>
        <v>37.3635</v>
      </c>
    </row>
    <row r="17">
      <c r="B17" s="18" t="s">
        <v>34</v>
      </c>
      <c r="C17" s="19">
        <f t="shared" si="1"/>
        <v>44759.99813</v>
      </c>
      <c r="D17" s="19">
        <f t="shared" si="2"/>
        <v>26855.99888</v>
      </c>
      <c r="E17" s="19">
        <f>product('Crop Data'!B12,'Crop Data'!C12,if($I$2="Baseline",1,'Crop Data'!D12),$E$2,Variables!$B$2,Variables!$B$3)</f>
        <v>14919.99938</v>
      </c>
      <c r="F17" s="17">
        <f>product(product('Crop Data'!B12,$E$2,Variables!$B$2,Variables!$B$3),0.001)</f>
        <v>99.0375</v>
      </c>
      <c r="G17" s="20">
        <f>product(F17,'Crop Data'!F12)</f>
        <v>57.44175</v>
      </c>
      <c r="I17" s="18" t="s">
        <v>35</v>
      </c>
      <c r="J17" s="19">
        <f t="shared" si="3"/>
        <v>67814.7525</v>
      </c>
      <c r="K17" s="19">
        <f t="shared" si="4"/>
        <v>40688.8515</v>
      </c>
      <c r="L17" s="19">
        <f t="shared" ref="L17:N17" si="6">product(L15,3)</f>
        <v>22604.9175</v>
      </c>
      <c r="M17" s="20">
        <f t="shared" si="6"/>
        <v>186.8175</v>
      </c>
      <c r="N17" s="20">
        <f t="shared" si="6"/>
        <v>56.04525</v>
      </c>
    </row>
    <row r="18">
      <c r="B18" s="18" t="s">
        <v>36</v>
      </c>
      <c r="C18" s="19">
        <f t="shared" si="1"/>
        <v>46949.76</v>
      </c>
      <c r="D18" s="19">
        <f t="shared" si="2"/>
        <v>28169.856</v>
      </c>
      <c r="E18" s="19">
        <f>product('Crop Data'!B13,'Crop Data'!C13,if($I$2="Baseline",1,'Crop Data'!D13),$E$2,Variables!$B$2,Variables!$B$3)</f>
        <v>15649.92</v>
      </c>
      <c r="F18" s="17">
        <f>product(product('Crop Data'!B13,$E$2,Variables!$B$2,Variables!$B$3),0.001)</f>
        <v>13.68</v>
      </c>
      <c r="G18" s="20">
        <f>product(F18,'Crop Data'!F13)</f>
        <v>9.8496</v>
      </c>
      <c r="I18" s="18" t="s">
        <v>37</v>
      </c>
      <c r="J18" s="19">
        <f t="shared" si="3"/>
        <v>90419.67</v>
      </c>
      <c r="K18" s="19">
        <f t="shared" si="4"/>
        <v>54251.802</v>
      </c>
      <c r="L18" s="19">
        <f t="shared" ref="L18:N18" si="7">product(L15,4)</f>
        <v>30139.89</v>
      </c>
      <c r="M18" s="20">
        <f t="shared" si="7"/>
        <v>249.09</v>
      </c>
      <c r="N18" s="20">
        <f t="shared" si="7"/>
        <v>74.727</v>
      </c>
    </row>
    <row r="19">
      <c r="B19" s="18" t="s">
        <v>38</v>
      </c>
      <c r="C19" s="19">
        <f t="shared" si="1"/>
        <v>45075.12975</v>
      </c>
      <c r="D19" s="19">
        <f t="shared" si="2"/>
        <v>27045.07785</v>
      </c>
      <c r="E19" s="19">
        <f>product('Crop Data'!B14,'Crop Data'!C14,if($I$2="Baseline",1,'Crop Data'!D14),$E$2,Variables!$B$2,Variables!$B$3)</f>
        <v>15025.04325</v>
      </c>
      <c r="F19" s="17">
        <f>product(product('Crop Data'!B14,$E$2,Variables!$B$2,Variables!$B$3),0.001)</f>
        <v>58.8525</v>
      </c>
      <c r="G19" s="20">
        <f>product(F19,'Crop Data'!F14)</f>
        <v>44.139375</v>
      </c>
      <c r="I19" s="22" t="s">
        <v>39</v>
      </c>
      <c r="J19" s="23">
        <f t="shared" si="3"/>
        <v>459632.8152</v>
      </c>
      <c r="K19" s="23">
        <f t="shared" si="4"/>
        <v>275779.6891</v>
      </c>
      <c r="L19" s="23">
        <f>product('Crop Data'!B25,'Crop Data'!C25,if($I$2="Baseline",1,'Crop Data'!D25),$E$2,Variables!$B$2,Variables!$B$3)</f>
        <v>153210.9384</v>
      </c>
      <c r="M19" s="24">
        <f>product(product('Crop Data'!B25,$E$2,Variables!$B$2,Variables!$B$3),0.001)</f>
        <v>283.30425</v>
      </c>
      <c r="N19" s="24">
        <f>product(M19,'Crop Data'!F25)</f>
        <v>99.1564875</v>
      </c>
    </row>
    <row r="20">
      <c r="B20" s="18" t="s">
        <v>40</v>
      </c>
      <c r="C20" s="19">
        <f t="shared" si="1"/>
        <v>21411.3375</v>
      </c>
      <c r="D20" s="19">
        <f t="shared" si="2"/>
        <v>12846.8025</v>
      </c>
      <c r="E20" s="19">
        <f>product('Crop Data'!B15,'Crop Data'!C15,if($I$2="Baseline",1,'Crop Data'!D16),$E$2,Variables!$B$2,Variables!$B$3)</f>
        <v>7137.1125</v>
      </c>
      <c r="F20" s="17">
        <f>product(product('Crop Data'!B15,$E$2,Variables!$B$2,Variables!$B$3),0.001)</f>
        <v>12.825</v>
      </c>
      <c r="G20" s="20">
        <f>product(F20,'Crop Data'!F15)</f>
        <v>9.87525</v>
      </c>
      <c r="M20" s="25"/>
      <c r="N20" s="25"/>
    </row>
    <row r="21">
      <c r="B21" s="18" t="s">
        <v>41</v>
      </c>
      <c r="C21" s="19">
        <f t="shared" si="1"/>
        <v>32588.325</v>
      </c>
      <c r="D21" s="19">
        <f t="shared" si="2"/>
        <v>19552.995</v>
      </c>
      <c r="E21" s="19">
        <f>product('Crop Data'!B16,'Crop Data'!C16,if($I$2="Baseline",1,'Crop Data'!D15),$E$2,Variables!$B$2,Variables!$B$3)</f>
        <v>10862.775</v>
      </c>
      <c r="F21" s="17">
        <f>product(product('Crop Data'!B16,$E$2,Variables!$B$2,Variables!$B$3),0.001)</f>
        <v>9.405</v>
      </c>
      <c r="G21" s="20">
        <f>product(F21,'Crop Data'!F16)</f>
        <v>7.42995</v>
      </c>
      <c r="I21" s="26" t="s">
        <v>42</v>
      </c>
      <c r="J21" s="27"/>
      <c r="K21" s="27"/>
      <c r="L21" s="28"/>
      <c r="M21" s="25"/>
      <c r="N21" s="25"/>
    </row>
    <row r="22">
      <c r="B22" s="18" t="s">
        <v>43</v>
      </c>
      <c r="C22" s="19">
        <f t="shared" si="1"/>
        <v>18389.853</v>
      </c>
      <c r="D22" s="19">
        <f t="shared" si="2"/>
        <v>11033.9118</v>
      </c>
      <c r="E22" s="19">
        <f>product('Crop Data'!B17,'Crop Data'!C17,if($I$2="Baseline",1,'Crop Data'!D17),$E$2,Variables!$B$2,Variables!$B$3)</f>
        <v>6129.951</v>
      </c>
      <c r="F22" s="17">
        <f>product(product('Crop Data'!B17,$E$2,Variables!$B$2,Variables!$B$3),0.001)</f>
        <v>11.685</v>
      </c>
      <c r="G22" s="20">
        <f>product(F22,'Crop Data'!F17)</f>
        <v>9.93225</v>
      </c>
      <c r="I22" s="29" t="s">
        <v>44</v>
      </c>
      <c r="J22" s="25"/>
      <c r="K22" s="25"/>
      <c r="L22" s="25"/>
      <c r="M22" s="25"/>
      <c r="N22" s="25"/>
    </row>
    <row r="23">
      <c r="B23" s="18" t="s">
        <v>45</v>
      </c>
      <c r="C23" s="19">
        <f t="shared" si="1"/>
        <v>23797.17225</v>
      </c>
      <c r="D23" s="19">
        <f t="shared" si="2"/>
        <v>14278.30335</v>
      </c>
      <c r="E23" s="19">
        <f>product('Crop Data'!B18,'Crop Data'!C18,if($I$2="Baseline",1,'Crop Data'!D18),$E$2,Variables!$B$2,Variables!$B$3)</f>
        <v>7932.39075</v>
      </c>
      <c r="F23" s="17">
        <f>product(product('Crop Data'!B18,$E$2,Variables!$B$2,Variables!$B$3),0.001)</f>
        <v>6.4125</v>
      </c>
      <c r="G23" s="20">
        <f>product(F23,'Crop Data'!F18)</f>
        <v>4.48875</v>
      </c>
      <c r="I23" s="29" t="s">
        <v>46</v>
      </c>
      <c r="J23" s="25"/>
      <c r="K23" s="25"/>
      <c r="L23" s="25"/>
      <c r="M23" s="25"/>
      <c r="N23" s="25"/>
    </row>
    <row r="24">
      <c r="B24" s="18" t="s">
        <v>47</v>
      </c>
      <c r="C24" s="19">
        <f t="shared" si="1"/>
        <v>22811.8275</v>
      </c>
      <c r="D24" s="19">
        <f t="shared" si="2"/>
        <v>13687.0965</v>
      </c>
      <c r="E24" s="19">
        <f>product('Crop Data'!B19,'Crop Data'!C19,if($I$2="Baseline",1,'Crop Data'!D19),$E$2,Variables!$B$2,Variables!$B$3)</f>
        <v>7603.9425</v>
      </c>
      <c r="F24" s="17">
        <f>product(product('Crop Data'!B19,$E$2,Variables!$B$2,Variables!$B$3),0.001)</f>
        <v>32.9175</v>
      </c>
      <c r="G24" s="20">
        <f>product(F24,'Crop Data'!F19)</f>
        <v>4.279275</v>
      </c>
      <c r="I24" s="29" t="s">
        <v>48</v>
      </c>
      <c r="M24" s="25"/>
      <c r="N24" s="25"/>
    </row>
    <row r="25">
      <c r="B25" s="18" t="s">
        <v>49</v>
      </c>
      <c r="C25" s="19">
        <f t="shared" si="1"/>
        <v>48875.391</v>
      </c>
      <c r="D25" s="19">
        <f t="shared" si="2"/>
        <v>29325.2346</v>
      </c>
      <c r="E25" s="19">
        <f>product('Crop Data'!B20,'Crop Data'!C20,if($I$2="Baseline",1,'Crop Data'!D20),$E$2,Variables!$B$2,Variables!$B$3)</f>
        <v>16291.797</v>
      </c>
      <c r="F25" s="17">
        <f>product(product('Crop Data'!B20,$E$2,Variables!$B$2,Variables!$B$3),0.001)</f>
        <v>82.365</v>
      </c>
      <c r="G25" s="20">
        <f>product(F25,'Crop Data'!F20)</f>
        <v>57.6555</v>
      </c>
      <c r="I25" s="29" t="s">
        <v>50</v>
      </c>
      <c r="J25" s="25"/>
      <c r="K25" s="25"/>
      <c r="L25" s="25"/>
      <c r="M25" s="25"/>
      <c r="N25" s="25"/>
    </row>
    <row r="26">
      <c r="B26" s="18" t="s">
        <v>51</v>
      </c>
      <c r="C26" s="19">
        <f t="shared" si="1"/>
        <v>60573.88575</v>
      </c>
      <c r="D26" s="19">
        <f t="shared" si="2"/>
        <v>36344.33145</v>
      </c>
      <c r="E26" s="19">
        <f>product('Crop Data'!B21,'Crop Data'!C21,if($I$2="Baseline",1,'Crop Data'!D21),$E$2,Variables!$B$2,Variables!$B$3)</f>
        <v>20191.29525</v>
      </c>
      <c r="F26" s="17">
        <f>product(product('Crop Data'!B21,$E$2,Variables!$B$2,Variables!$B$3),0.001)</f>
        <v>161.595</v>
      </c>
      <c r="G26" s="20">
        <f>product(F26,'Crop Data'!F21)</f>
        <v>29.0871</v>
      </c>
      <c r="I26" s="25" t="s">
        <v>52</v>
      </c>
      <c r="M26" s="25"/>
      <c r="N26" s="25"/>
    </row>
    <row r="27">
      <c r="B27" s="18" t="s">
        <v>53</v>
      </c>
      <c r="C27" s="19">
        <f t="shared" si="1"/>
        <v>17952.948</v>
      </c>
      <c r="D27" s="19">
        <f t="shared" si="2"/>
        <v>10771.7688</v>
      </c>
      <c r="E27" s="19">
        <f>product('Crop Data'!B22,'Crop Data'!C22,if($I$2="Baseline",1,'Crop Data'!D22),$E$2,Variables!$B$2,Variables!$B$3)</f>
        <v>5984.316</v>
      </c>
      <c r="F27" s="17">
        <f>product(product('Crop Data'!B22,$E$2,Variables!$B$2,Variables!$B$3),0.001)</f>
        <v>7.41</v>
      </c>
      <c r="G27" s="20">
        <f>product(F27,'Crop Data'!F22)</f>
        <v>2.5935</v>
      </c>
      <c r="I27" s="25" t="s">
        <v>54</v>
      </c>
      <c r="M27" s="25"/>
      <c r="N27" s="25"/>
    </row>
    <row r="28">
      <c r="B28" s="18" t="s">
        <v>55</v>
      </c>
      <c r="C28" s="19">
        <f t="shared" si="1"/>
        <v>15514.62908</v>
      </c>
      <c r="D28" s="19">
        <f t="shared" si="2"/>
        <v>9308.777445</v>
      </c>
      <c r="E28" s="19">
        <f>product('Crop Data'!B23,'Crop Data'!C23,if($I$2="Baseline",1,'Crop Data'!D23),$E$2,Variables!$B$2,Variables!$B$3)</f>
        <v>5171.543025</v>
      </c>
      <c r="F28" s="17">
        <f>product(product('Crop Data'!B23,$E$2,Variables!$B$2,Variables!$B$3),0.001)</f>
        <v>12.6825</v>
      </c>
      <c r="G28" s="20">
        <f>product(F28,'Crop Data'!F23)</f>
        <v>9.89235</v>
      </c>
      <c r="I28" s="25" t="s">
        <v>56</v>
      </c>
    </row>
    <row r="29">
      <c r="B29" s="18" t="s">
        <v>57</v>
      </c>
      <c r="C29" s="19">
        <f t="shared" si="1"/>
        <v>9331.534125</v>
      </c>
      <c r="D29" s="19">
        <f t="shared" si="2"/>
        <v>5598.920475</v>
      </c>
      <c r="E29" s="19">
        <f>product('Crop Data'!B24,'Crop Data'!C24,if($I$2="Baseline",1,'Crop Data'!D24),$E$2,Variables!$B$2,Variables!$B$3)</f>
        <v>3110.511375</v>
      </c>
      <c r="F29" s="17">
        <f>product(product('Crop Data'!B24,$E$2,Variables!$B$2,Variables!$B$3),0.001)</f>
        <v>62.2725</v>
      </c>
      <c r="G29" s="20">
        <f>product(F29,'Crop Data'!F24)</f>
        <v>18.68175</v>
      </c>
      <c r="I29" s="25" t="s">
        <v>58</v>
      </c>
    </row>
    <row r="30">
      <c r="B30" s="18" t="s">
        <v>59</v>
      </c>
      <c r="C30" s="19">
        <f t="shared" si="1"/>
        <v>18663.06825</v>
      </c>
      <c r="D30" s="19">
        <f t="shared" si="2"/>
        <v>11197.84095</v>
      </c>
      <c r="E30" s="19">
        <f t="shared" ref="E30:G30" si="8">product(E29,2)</f>
        <v>6221.02275</v>
      </c>
      <c r="F30" s="20">
        <f t="shared" si="8"/>
        <v>124.545</v>
      </c>
      <c r="G30" s="20">
        <f t="shared" si="8"/>
        <v>37.3635</v>
      </c>
      <c r="I30" s="25" t="s">
        <v>60</v>
      </c>
    </row>
    <row r="31">
      <c r="B31" s="18" t="s">
        <v>61</v>
      </c>
      <c r="C31" s="19">
        <f t="shared" si="1"/>
        <v>27994.60238</v>
      </c>
      <c r="D31" s="19">
        <f t="shared" si="2"/>
        <v>16796.76143</v>
      </c>
      <c r="E31" s="19">
        <f t="shared" ref="E31:G31" si="9">product(E29,3)</f>
        <v>9331.534125</v>
      </c>
      <c r="F31" s="20">
        <f t="shared" si="9"/>
        <v>186.8175</v>
      </c>
      <c r="G31" s="20">
        <f t="shared" si="9"/>
        <v>56.04525</v>
      </c>
      <c r="I31" s="25" t="s">
        <v>62</v>
      </c>
      <c r="J31" s="25"/>
      <c r="K31" s="25"/>
      <c r="L31" s="25"/>
    </row>
    <row r="32">
      <c r="B32" s="18" t="s">
        <v>63</v>
      </c>
      <c r="C32" s="19">
        <f t="shared" si="1"/>
        <v>37326.1365</v>
      </c>
      <c r="D32" s="19">
        <f t="shared" si="2"/>
        <v>22395.6819</v>
      </c>
      <c r="E32" s="19">
        <f t="shared" ref="E32:G32" si="10">product(E29,4)</f>
        <v>12442.0455</v>
      </c>
      <c r="F32" s="20">
        <f t="shared" si="10"/>
        <v>249.09</v>
      </c>
      <c r="G32" s="20">
        <f t="shared" si="10"/>
        <v>74.727</v>
      </c>
      <c r="I32" s="25" t="s">
        <v>64</v>
      </c>
      <c r="J32" s="25"/>
      <c r="K32" s="25"/>
      <c r="L32" s="25"/>
    </row>
    <row r="33">
      <c r="B33" s="22" t="s">
        <v>65</v>
      </c>
      <c r="C33" s="23">
        <f t="shared" si="1"/>
        <v>45623.655</v>
      </c>
      <c r="D33" s="23">
        <f t="shared" si="2"/>
        <v>27374.193</v>
      </c>
      <c r="E33" s="23">
        <f t="shared" ref="E33:G33" si="11">product(E24,2)</f>
        <v>15207.885</v>
      </c>
      <c r="F33" s="24">
        <f t="shared" si="11"/>
        <v>65.835</v>
      </c>
      <c r="G33" s="24">
        <f t="shared" si="11"/>
        <v>8.55855</v>
      </c>
      <c r="I33" s="25" t="s">
        <v>66</v>
      </c>
      <c r="J33" s="25"/>
      <c r="K33" s="25"/>
      <c r="L33" s="25"/>
    </row>
    <row r="34">
      <c r="I34" s="25" t="s">
        <v>67</v>
      </c>
    </row>
    <row r="35">
      <c r="I35" s="25" t="s">
        <v>68</v>
      </c>
    </row>
    <row r="36">
      <c r="I36" s="25" t="s">
        <v>69</v>
      </c>
    </row>
    <row r="37">
      <c r="I37" s="25" t="s">
        <v>70</v>
      </c>
    </row>
    <row r="38">
      <c r="I38" s="25" t="s">
        <v>71</v>
      </c>
    </row>
    <row r="39">
      <c r="I39" s="25" t="s">
        <v>72</v>
      </c>
    </row>
    <row r="40">
      <c r="I40" s="25" t="s">
        <v>73</v>
      </c>
    </row>
    <row r="41">
      <c r="I41" s="26" t="s">
        <v>74</v>
      </c>
      <c r="J41" s="27"/>
      <c r="K41" s="27"/>
      <c r="L41" s="28"/>
    </row>
    <row r="42">
      <c r="I42" s="30" t="s">
        <v>75</v>
      </c>
    </row>
  </sheetData>
  <mergeCells count="2">
    <mergeCell ref="B4:G4"/>
    <mergeCell ref="I4:N4"/>
  </mergeCells>
  <dataValidations>
    <dataValidation type="list" allowBlank="1" showErrorMessage="1" sqref="I2">
      <formula1>"Baseline,Max Seasonal"</formula1>
    </dataValidation>
    <dataValidation type="decimal" allowBlank="1" showDropDown="1" showErrorMessage="1" sqref="G2">
      <formula1>0.0</formula1>
      <formula2>1.0</formula2>
    </dataValidation>
    <dataValidation type="list" allowBlank="1" showErrorMessage="1" sqref="C2">
      <formula1>"Per Acre,Per Hectare"</formula1>
    </dataValidation>
    <dataValidation type="decimal" allowBlank="1" showDropDown="1" showErrorMessage="1" sqref="E2">
      <formula1>1.0E-7</formula1>
      <formula2>1000000.0</formula2>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s>
  <sheetData>
    <row r="1">
      <c r="A1" s="25" t="s">
        <v>8</v>
      </c>
      <c r="B1" s="25" t="s">
        <v>76</v>
      </c>
      <c r="C1" s="25" t="s">
        <v>77</v>
      </c>
      <c r="D1" s="25" t="s">
        <v>78</v>
      </c>
      <c r="E1" s="25" t="s">
        <v>79</v>
      </c>
      <c r="F1" s="25" t="s">
        <v>80</v>
      </c>
    </row>
    <row r="2">
      <c r="A2" s="25" t="s">
        <v>14</v>
      </c>
      <c r="B2" s="25">
        <v>0.96</v>
      </c>
      <c r="C2" s="25">
        <v>0.313</v>
      </c>
      <c r="D2" s="25">
        <v>1.21</v>
      </c>
      <c r="E2" s="25">
        <v>0.0265</v>
      </c>
      <c r="F2" s="25">
        <v>0.68</v>
      </c>
    </row>
    <row r="3">
      <c r="A3" s="25" t="s">
        <v>16</v>
      </c>
      <c r="B3" s="25">
        <v>5.78</v>
      </c>
      <c r="C3" s="25">
        <v>0.122</v>
      </c>
      <c r="D3" s="25">
        <v>1.15</v>
      </c>
      <c r="E3" s="25">
        <v>0.004</v>
      </c>
      <c r="F3" s="25">
        <v>0.52</v>
      </c>
    </row>
    <row r="4">
      <c r="A4" s="25" t="s">
        <v>18</v>
      </c>
      <c r="B4" s="25">
        <v>0.58</v>
      </c>
      <c r="C4" s="25">
        <v>0.603</v>
      </c>
      <c r="D4" s="25">
        <v>1.21</v>
      </c>
      <c r="E4" s="25">
        <v>0.0049</v>
      </c>
      <c r="F4" s="25">
        <v>0.6</v>
      </c>
    </row>
    <row r="5">
      <c r="A5" s="25" t="s">
        <v>20</v>
      </c>
      <c r="B5" s="25">
        <v>7.7</v>
      </c>
      <c r="C5" s="25">
        <v>0.132</v>
      </c>
      <c r="D5" s="25">
        <v>1.15</v>
      </c>
      <c r="E5" s="25">
        <v>0.001</v>
      </c>
      <c r="F5" s="25">
        <v>0.64</v>
      </c>
    </row>
    <row r="6">
      <c r="A6" s="25" t="s">
        <v>22</v>
      </c>
      <c r="B6" s="25">
        <v>0.92</v>
      </c>
      <c r="C6" s="25">
        <v>0.38</v>
      </c>
      <c r="D6" s="25">
        <v>1.33</v>
      </c>
      <c r="E6" s="25">
        <v>0.0053</v>
      </c>
      <c r="F6" s="25">
        <v>0.8</v>
      </c>
    </row>
    <row r="7">
      <c r="A7" s="25" t="s">
        <v>24</v>
      </c>
      <c r="B7" s="25">
        <v>0.497</v>
      </c>
      <c r="C7" s="25">
        <v>1.252</v>
      </c>
      <c r="D7" s="25">
        <v>1.11</v>
      </c>
      <c r="E7" s="25">
        <v>0.005</v>
      </c>
      <c r="F7" s="25">
        <v>0.23</v>
      </c>
    </row>
    <row r="8">
      <c r="A8" s="25" t="s">
        <v>26</v>
      </c>
      <c r="B8" s="25">
        <v>1.84</v>
      </c>
      <c r="C8" s="25">
        <v>0.603</v>
      </c>
      <c r="D8" s="25">
        <v>1.2</v>
      </c>
      <c r="E8" s="25">
        <v>0.0</v>
      </c>
      <c r="F8" s="25">
        <v>0.6</v>
      </c>
    </row>
    <row r="9">
      <c r="A9" s="25" t="s">
        <v>28</v>
      </c>
      <c r="B9" s="25">
        <v>0.6975</v>
      </c>
      <c r="C9" s="25">
        <v>0.72</v>
      </c>
      <c r="D9" s="25">
        <v>1.05</v>
      </c>
      <c r="E9" s="25">
        <v>0.028</v>
      </c>
      <c r="F9" s="25">
        <v>0.42</v>
      </c>
    </row>
    <row r="10">
      <c r="A10" s="25" t="s">
        <v>30</v>
      </c>
      <c r="B10" s="25">
        <v>0.57</v>
      </c>
      <c r="C10" s="25">
        <v>0.532</v>
      </c>
      <c r="D10" s="25">
        <v>1.21</v>
      </c>
      <c r="E10" s="25">
        <v>0.034</v>
      </c>
      <c r="F10" s="25">
        <v>0.5</v>
      </c>
    </row>
    <row r="11">
      <c r="A11" s="25" t="s">
        <v>32</v>
      </c>
      <c r="B11" s="25">
        <v>1.84</v>
      </c>
      <c r="C11" s="25">
        <v>0.603</v>
      </c>
      <c r="D11" s="25">
        <v>1.2</v>
      </c>
      <c r="E11" s="25">
        <v>0.0</v>
      </c>
      <c r="F11" s="25">
        <v>0.6</v>
      </c>
    </row>
    <row r="12">
      <c r="A12" s="25" t="s">
        <v>34</v>
      </c>
      <c r="B12" s="25">
        <v>6.95</v>
      </c>
      <c r="C12" s="25">
        <v>0.131</v>
      </c>
      <c r="D12" s="25">
        <v>1.15</v>
      </c>
      <c r="E12" s="25">
        <v>0.001</v>
      </c>
      <c r="F12" s="25">
        <v>0.58</v>
      </c>
    </row>
    <row r="13">
      <c r="A13" s="25" t="s">
        <v>36</v>
      </c>
      <c r="B13" s="25">
        <v>0.96</v>
      </c>
      <c r="C13" s="25">
        <v>1.04</v>
      </c>
      <c r="D13" s="25">
        <v>1.1</v>
      </c>
      <c r="E13" s="25">
        <v>0.025</v>
      </c>
      <c r="F13" s="25">
        <v>0.72</v>
      </c>
    </row>
    <row r="14">
      <c r="A14" s="25" t="s">
        <v>38</v>
      </c>
      <c r="B14" s="25">
        <v>4.13</v>
      </c>
      <c r="C14" s="25">
        <v>0.222</v>
      </c>
      <c r="D14" s="25">
        <v>1.15</v>
      </c>
      <c r="E14" s="25">
        <v>0.3733</v>
      </c>
      <c r="F14" s="25">
        <v>0.75</v>
      </c>
    </row>
    <row r="15">
      <c r="A15" s="25" t="s">
        <v>40</v>
      </c>
      <c r="B15" s="25">
        <v>0.9</v>
      </c>
      <c r="C15" s="25">
        <v>0.53</v>
      </c>
      <c r="D15" s="25">
        <v>1.05</v>
      </c>
      <c r="E15" s="25">
        <v>0.05</v>
      </c>
      <c r="F15" s="25">
        <v>0.77</v>
      </c>
    </row>
    <row r="16">
      <c r="A16" s="25" t="s">
        <v>41</v>
      </c>
      <c r="B16" s="25">
        <v>0.66</v>
      </c>
      <c r="C16" s="25">
        <v>1.1</v>
      </c>
      <c r="D16" s="25">
        <v>1.05</v>
      </c>
      <c r="E16" s="25">
        <v>0.015625</v>
      </c>
      <c r="F16" s="25">
        <v>0.79</v>
      </c>
    </row>
    <row r="17">
      <c r="A17" s="25" t="s">
        <v>43</v>
      </c>
      <c r="B17" s="25">
        <v>0.82</v>
      </c>
      <c r="C17" s="25">
        <v>0.43</v>
      </c>
      <c r="D17" s="25">
        <v>1.22</v>
      </c>
      <c r="E17" s="25">
        <v>0.0035</v>
      </c>
      <c r="F17" s="25">
        <v>0.85</v>
      </c>
    </row>
    <row r="18">
      <c r="A18" s="25" t="s">
        <v>45</v>
      </c>
      <c r="B18" s="25">
        <v>0.45</v>
      </c>
      <c r="C18" s="25">
        <v>0.778</v>
      </c>
      <c r="D18" s="25">
        <v>1.59</v>
      </c>
      <c r="E18" s="25">
        <v>0.0214</v>
      </c>
      <c r="F18" s="25">
        <v>0.7</v>
      </c>
    </row>
    <row r="19">
      <c r="A19" s="25" t="s">
        <v>47</v>
      </c>
      <c r="B19" s="25">
        <v>2.31</v>
      </c>
      <c r="C19" s="25">
        <v>0.22</v>
      </c>
      <c r="D19" s="25">
        <v>1.05</v>
      </c>
      <c r="E19" s="25">
        <v>0.001</v>
      </c>
      <c r="F19" s="25">
        <v>0.13</v>
      </c>
    </row>
    <row r="20">
      <c r="A20" s="25" t="s">
        <v>49</v>
      </c>
      <c r="B20" s="25">
        <v>5.78</v>
      </c>
      <c r="C20" s="25">
        <v>0.172</v>
      </c>
      <c r="D20" s="25">
        <v>1.15</v>
      </c>
      <c r="E20" s="25">
        <v>0.0034</v>
      </c>
      <c r="F20" s="25">
        <v>0.7</v>
      </c>
    </row>
    <row r="21">
      <c r="A21" s="25" t="s">
        <v>51</v>
      </c>
      <c r="B21" s="25">
        <v>11.34</v>
      </c>
      <c r="C21" s="25">
        <v>0.119</v>
      </c>
      <c r="D21" s="25">
        <v>1.05</v>
      </c>
      <c r="E21" s="25">
        <v>1.2</v>
      </c>
      <c r="F21" s="25">
        <v>0.18</v>
      </c>
    </row>
    <row r="22">
      <c r="A22" s="25" t="s">
        <v>53</v>
      </c>
      <c r="B22" s="25">
        <v>0.52</v>
      </c>
      <c r="C22" s="25">
        <v>0.673</v>
      </c>
      <c r="D22" s="25">
        <v>1.2</v>
      </c>
      <c r="E22" s="25">
        <v>0.0143</v>
      </c>
      <c r="F22" s="25">
        <v>0.35</v>
      </c>
    </row>
    <row r="23">
      <c r="A23" s="25" t="s">
        <v>55</v>
      </c>
      <c r="B23" s="25">
        <v>0.89</v>
      </c>
      <c r="C23" s="25">
        <v>0.337</v>
      </c>
      <c r="D23" s="25">
        <v>1.21</v>
      </c>
      <c r="E23" s="25">
        <v>0.0308</v>
      </c>
      <c r="F23" s="25">
        <v>0.78</v>
      </c>
    </row>
    <row r="24">
      <c r="A24" s="25" t="s">
        <v>57</v>
      </c>
      <c r="B24" s="25">
        <v>4.37</v>
      </c>
      <c r="C24" s="25">
        <v>0.045</v>
      </c>
      <c r="D24" s="25">
        <v>1.11</v>
      </c>
      <c r="E24" s="25">
        <v>0.012</v>
      </c>
      <c r="F24" s="25">
        <v>0.3</v>
      </c>
    </row>
    <row r="25">
      <c r="A25" s="25" t="s">
        <v>39</v>
      </c>
      <c r="B25" s="25">
        <v>19.881</v>
      </c>
      <c r="C25" s="25">
        <v>0.32</v>
      </c>
      <c r="D25" s="25">
        <v>1.69</v>
      </c>
      <c r="E25" s="25">
        <v>0.15</v>
      </c>
      <c r="F25" s="25">
        <v>0.35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 t="s">
        <v>8</v>
      </c>
      <c r="B1" s="25" t="s">
        <v>76</v>
      </c>
      <c r="C1" s="25" t="s">
        <v>81</v>
      </c>
    </row>
    <row r="2">
      <c r="A2" s="25" t="s">
        <v>14</v>
      </c>
      <c r="B2" s="25">
        <v>0.96</v>
      </c>
      <c r="C2" s="25">
        <v>4.0</v>
      </c>
    </row>
    <row r="3">
      <c r="A3" s="25" t="s">
        <v>18</v>
      </c>
      <c r="B3" s="25">
        <v>0.58</v>
      </c>
      <c r="C3" s="25">
        <v>4.0</v>
      </c>
    </row>
    <row r="4">
      <c r="A4" s="25" t="s">
        <v>22</v>
      </c>
      <c r="B4" s="25">
        <v>0.92</v>
      </c>
      <c r="C4" s="25">
        <v>7.8</v>
      </c>
    </row>
    <row r="5">
      <c r="A5" s="25" t="s">
        <v>30</v>
      </c>
      <c r="B5" s="25">
        <v>0.57</v>
      </c>
      <c r="C5" s="25">
        <v>4.0</v>
      </c>
    </row>
    <row r="6">
      <c r="A6" s="25" t="s">
        <v>43</v>
      </c>
      <c r="B6" s="25">
        <v>0.82</v>
      </c>
      <c r="C6" s="25">
        <v>4.0</v>
      </c>
    </row>
    <row r="7">
      <c r="A7" s="25" t="s">
        <v>45</v>
      </c>
      <c r="B7" s="25">
        <v>0.45</v>
      </c>
      <c r="C7" s="25">
        <v>4.0</v>
      </c>
    </row>
    <row r="8">
      <c r="A8" s="25" t="s">
        <v>53</v>
      </c>
      <c r="B8" s="25">
        <v>0.52</v>
      </c>
      <c r="C8" s="25">
        <v>6.0</v>
      </c>
    </row>
    <row r="9">
      <c r="A9" s="25" t="s">
        <v>55</v>
      </c>
      <c r="B9" s="25">
        <v>0.89</v>
      </c>
      <c r="C9" s="25">
        <v>4.0</v>
      </c>
    </row>
    <row r="10">
      <c r="A10" s="25" t="s">
        <v>57</v>
      </c>
      <c r="B10" s="25">
        <v>4.37</v>
      </c>
      <c r="C10" s="25">
        <v>1.0</v>
      </c>
    </row>
    <row r="11">
      <c r="A11" s="25" t="s">
        <v>82</v>
      </c>
      <c r="B11" s="25">
        <v>6.627</v>
      </c>
      <c r="C11" s="25">
        <v>3.0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3" max="3" width="15.5"/>
  </cols>
  <sheetData>
    <row r="1">
      <c r="A1" s="25" t="s">
        <v>8</v>
      </c>
      <c r="B1" s="25" t="s">
        <v>83</v>
      </c>
    </row>
    <row r="2">
      <c r="A2" s="25" t="s">
        <v>84</v>
      </c>
      <c r="B2" s="31">
        <f>if(Main!C2="Per Acre", 4046.856, 10000)</f>
        <v>10000</v>
      </c>
    </row>
    <row r="3">
      <c r="A3" s="25" t="s">
        <v>85</v>
      </c>
      <c r="B3" s="31">
        <f>sum(1,Main!G2)</f>
        <v>1.425</v>
      </c>
    </row>
    <row r="4">
      <c r="A4" s="25" t="s">
        <v>86</v>
      </c>
      <c r="B4" s="25">
        <v>0.121</v>
      </c>
    </row>
    <row r="5">
      <c r="A5" s="25" t="s">
        <v>87</v>
      </c>
      <c r="B5" s="25">
        <v>0.3</v>
      </c>
    </row>
    <row r="6">
      <c r="A6" s="25" t="s">
        <v>88</v>
      </c>
      <c r="B6" s="31">
        <f>divide(1260,1000)</f>
        <v>1.26</v>
      </c>
    </row>
    <row r="7">
      <c r="A7" s="25" t="s">
        <v>89</v>
      </c>
      <c r="B7" s="25">
        <v>0.3</v>
      </c>
    </row>
  </sheetData>
  <drawing r:id="rId1"/>
</worksheet>
</file>