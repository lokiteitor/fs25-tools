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w" sheetId="1" r:id="rId5"/>
    <sheet state="visible" name="Sheep" sheetId="2" r:id="rId6"/>
    <sheet state="visible" name="Chicken" sheetId="3" r:id="rId7"/>
    <sheet state="visible" name="Pig" sheetId="4" r:id="rId8"/>
    <sheet state="visible" name="Horse" sheetId="5" r:id="rId9"/>
    <sheet state="hidden" name="Yield" sheetId="6" r:id="rId10"/>
    <sheet state="hidden" name="Var" sheetId="7" r:id="rId11"/>
    <sheet state="hidden" name="Part" sheetId="8" r:id="rId12"/>
    <sheet state="hidden" name="Discount" sheetId="9" r:id="rId13"/>
    <sheet state="hidden" name="Rate" sheetId="10" r:id="rId14"/>
  </sheets>
  <definedNames/>
  <calcPr/>
</workbook>
</file>

<file path=xl/sharedStrings.xml><?xml version="1.0" encoding="utf-8"?>
<sst xmlns="http://schemas.openxmlformats.org/spreadsheetml/2006/main" count="358" uniqueCount="238">
  <si>
    <t>Milk Yearly</t>
  </si>
  <si>
    <t>Milk Monthly</t>
  </si>
  <si>
    <t>Cow Breed</t>
  </si>
  <si>
    <t>Feed Type</t>
  </si>
  <si>
    <t>Economic Difficulty</t>
  </si>
  <si>
    <t>Sell Price</t>
  </si>
  <si>
    <t>Grass Harvests</t>
  </si>
  <si>
    <t>Holstein</t>
  </si>
  <si>
    <t>TMR</t>
  </si>
  <si>
    <t>Easy</t>
  </si>
  <si>
    <t>Max Seasonal</t>
  </si>
  <si>
    <t>Num Cows</t>
  </si>
  <si>
    <t>Provide Straw</t>
  </si>
  <si>
    <t>Yield Bonus</t>
  </si>
  <si>
    <t>Total Mixed Ration Ratio</t>
  </si>
  <si>
    <t>Should add to 100%</t>
  </si>
  <si>
    <t>Hay</t>
  </si>
  <si>
    <t>Silage</t>
  </si>
  <si>
    <t>Straw</t>
  </si>
  <si>
    <t>Mineral Feed</t>
  </si>
  <si>
    <t>Total Percent</t>
  </si>
  <si>
    <t>Production &amp; Consumption</t>
  </si>
  <si>
    <t>Product</t>
  </si>
  <si>
    <t>Yearly</t>
  </si>
  <si>
    <t>Monthly</t>
  </si>
  <si>
    <t>Mineral feed is optional, but cannot be grown and must be purchased</t>
  </si>
  <si>
    <t>Milk</t>
  </si>
  <si>
    <t>TMR Ingredient</t>
  </si>
  <si>
    <t>Monthly Usage</t>
  </si>
  <si>
    <t>Yearly Usage</t>
  </si>
  <si>
    <t>Monthly Cost</t>
  </si>
  <si>
    <t>Yearly Cost</t>
  </si>
  <si>
    <t>Food</t>
  </si>
  <si>
    <t>Slurry</t>
  </si>
  <si>
    <t>Manure</t>
  </si>
  <si>
    <t>Silage usage needs help select appropriately sized bunker silos</t>
  </si>
  <si>
    <t>Yearly Beef Sales</t>
  </si>
  <si>
    <t>TMR Yearly Fieldwork</t>
  </si>
  <si>
    <t>Unit Price</t>
  </si>
  <si>
    <t>Simple Yearly Fieldwork</t>
  </si>
  <si>
    <t>Crop</t>
  </si>
  <si>
    <t>Hectares</t>
  </si>
  <si>
    <t>Acres</t>
  </si>
  <si>
    <t>Sell Count</t>
  </si>
  <si>
    <t>Straw Mix</t>
  </si>
  <si>
    <t>Total</t>
  </si>
  <si>
    <t>Straw Bedding</t>
  </si>
  <si>
    <t>Hay Mix</t>
  </si>
  <si>
    <t>Beef cows reach max sell price of $3,500 at 36 months old.</t>
  </si>
  <si>
    <t>Grass or Hay</t>
  </si>
  <si>
    <t>Corn Silage</t>
  </si>
  <si>
    <t>Cow price actually decreases when older than 36 months.</t>
  </si>
  <si>
    <t>Barley Silage</t>
  </si>
  <si>
    <t>Sell count is intended to be a rough analog for cows sold per year.</t>
  </si>
  <si>
    <t>Wheat Silage</t>
  </si>
  <si>
    <t>Imagine whatever timescale makes sense for your breeding cycle.</t>
  </si>
  <si>
    <t>Sorghum Silage</t>
  </si>
  <si>
    <t>This is oversimplified, but anything else more complicated is currently out of scope.</t>
  </si>
  <si>
    <t>Sunflower Silage</t>
  </si>
  <si>
    <t>Oat Silage</t>
  </si>
  <si>
    <t>Canola Silage</t>
  </si>
  <si>
    <t>Soybean Silage</t>
  </si>
  <si>
    <t>Assumes you will only grow one of the silage crop types to produce the silage for your TMR.</t>
  </si>
  <si>
    <t>Assumes you will only feed your cows one of these.</t>
  </si>
  <si>
    <t>The straw acreage needed for TMR is additional to that needed for straw bedding, if any.</t>
  </si>
  <si>
    <t>Straw bedding is not a feed type and is independent of feed.</t>
  </si>
  <si>
    <t>Silage needs time to ferment, grass and hay are ready to eat.</t>
  </si>
  <si>
    <t>NOTES</t>
  </si>
  <si>
    <t>The grass harvests multiplier is roughly analog to harvesting grass that many times per year.</t>
  </si>
  <si>
    <t>However, if you harvest grass too often per year you may not get a full yield each at harvest.</t>
  </si>
  <si>
    <t>Medow regrows monthly except the winter months of Dec, Jan, Feb.</t>
  </si>
  <si>
    <t>Younger animals eat less. Accounting for this is out of scope.</t>
  </si>
  <si>
    <t>This does not account for production chains.</t>
  </si>
  <si>
    <t>Margin of error on feed consumption numbers is typically around 0.01L</t>
  </si>
  <si>
    <t>LICENSE</t>
  </si>
  <si>
    <t>This work is contributed into the public domain. You may copy, share or do anything you want with this, without giving the author credit. By using this work, you do so at your own risk, and you agree to release the author from all liability for any damages arising from or relating to your use of this work.</t>
  </si>
  <si>
    <t>Num Sheep</t>
  </si>
  <si>
    <t>Num Goats</t>
  </si>
  <si>
    <t>Wool Sales</t>
  </si>
  <si>
    <t>Goat Milk Sales</t>
  </si>
  <si>
    <t>Wool (L)</t>
  </si>
  <si>
    <t>Goat Milk (L)</t>
  </si>
  <si>
    <t>Feed (L)</t>
  </si>
  <si>
    <t>Yearly Fieldwork</t>
  </si>
  <si>
    <t>Difficulty</t>
  </si>
  <si>
    <t>Sheep and goats only eat grass or hay.</t>
  </si>
  <si>
    <t>Sheep and goats produce their maximum output starting at 18 months old.</t>
  </si>
  <si>
    <t>This sheet therefor assumes animals are 18 months or older.</t>
  </si>
  <si>
    <t>Num Chx</t>
  </si>
  <si>
    <t>Egg Sales</t>
  </si>
  <si>
    <t>Eggs (L)</t>
  </si>
  <si>
    <t>Total Feed (L)</t>
  </si>
  <si>
    <t>Feed Grown (L)</t>
  </si>
  <si>
    <t>Gross total revenue here does not include feed cost, see below.</t>
  </si>
  <si>
    <t>Barley</t>
  </si>
  <si>
    <t>Wheat</t>
  </si>
  <si>
    <t>Sorghum</t>
  </si>
  <si>
    <t>Assumes you choose only one type of crop to grow.</t>
  </si>
  <si>
    <t>Yearly Feed Cost</t>
  </si>
  <si>
    <t>Oat</t>
  </si>
  <si>
    <t>Feed Bought</t>
  </si>
  <si>
    <t>Cost</t>
  </si>
  <si>
    <t>Amount</t>
  </si>
  <si>
    <t>Net</t>
  </si>
  <si>
    <t>Assumes you choose only one type of feed to buy.</t>
  </si>
  <si>
    <t>The net income number is the gross revenue from above, minus the feed cost.</t>
  </si>
  <si>
    <t>The store does not sell sorghum chicken feed, only oat and wheat.</t>
  </si>
  <si>
    <t>Younger animals eat least. Accounting for this is out of scope.</t>
  </si>
  <si>
    <t>HOW TO USE</t>
  </si>
  <si>
    <t>For simplicity, you will likely choose one crop per part, in which case you can change its amount to 100% and the others under that type to zero.</t>
  </si>
  <si>
    <t>For example, you might choose only Canola for a protein part. You can then set Canola to 100% and set Soy and Sunflower to zero.</t>
  </si>
  <si>
    <t>Change Me</t>
  </si>
  <si>
    <t>Yearly Input &amp; Output</t>
  </si>
  <si>
    <t>Yearly Pork Sales</t>
  </si>
  <si>
    <t>Num Pigs</t>
  </si>
  <si>
    <t>Change These</t>
  </si>
  <si>
    <t>Pigs reach max sell price of $2,500 at 24 months old.</t>
  </si>
  <si>
    <t>Part Ratios</t>
  </si>
  <si>
    <t>Sell count is intended to be a rough analog for pigs sold per year.</t>
  </si>
  <si>
    <t>Part</t>
  </si>
  <si>
    <t>Ingredient</t>
  </si>
  <si>
    <t>Liters</t>
  </si>
  <si>
    <t>Base</t>
  </si>
  <si>
    <t>Corn</t>
  </si>
  <si>
    <t>Grain</t>
  </si>
  <si>
    <t>Protein</t>
  </si>
  <si>
    <t>Soy</t>
  </si>
  <si>
    <t>Canola</t>
  </si>
  <si>
    <t>Sunflower</t>
  </si>
  <si>
    <t>Root</t>
  </si>
  <si>
    <t>Potato</t>
  </si>
  <si>
    <t>Sugar Beet</t>
  </si>
  <si>
    <t>Red Beet</t>
  </si>
  <si>
    <t>Parsnip</t>
  </si>
  <si>
    <t>Carrot</t>
  </si>
  <si>
    <t>Straw is optional, but manure is not produced without straw.</t>
  </si>
  <si>
    <t>Without an appropriate feed, pig health will degrade to zero.</t>
  </si>
  <si>
    <t>You can achieve 100% pig health on 1) only base feed 2) grain and protein 3) grain and root.</t>
  </si>
  <si>
    <t>You can ignore the numbers for the feed types you don't intend to provide.</t>
  </si>
  <si>
    <t>Pigs always eat a fixed amount of each feed type per month, if that feed type is present.</t>
  </si>
  <si>
    <t>Base feed increases health faster than grain, grain faster than protein, protein faster than root.</t>
  </si>
  <si>
    <t>For each main part type, you can select one or more specific crops to use for that part type.</t>
  </si>
  <si>
    <t>For example, for the grain part, you could feed 20% Wheat and 80% Barley, or you could feed only 100% Barley, etc..</t>
  </si>
  <si>
    <t>Wheat and barley do not count towards the protein part, only towards the grain part, etc..</t>
  </si>
  <si>
    <t>Yearly Equine Sales</t>
  </si>
  <si>
    <t>Num Horses</t>
  </si>
  <si>
    <t>Revenue</t>
  </si>
  <si>
    <t>Horses reach max sell price of $5,000 at 36 months old.</t>
  </si>
  <si>
    <t>Type</t>
  </si>
  <si>
    <t>Ratio</t>
  </si>
  <si>
    <t>Sell count is intended to be a rough analog for horses sold per year.</t>
  </si>
  <si>
    <t>Assumes you will feed only one of these</t>
  </si>
  <si>
    <t>Change the ratios for other hypothetical scenarios.</t>
  </si>
  <si>
    <t>Straw is optional, but manure is not produced without straw. Horses do not produce slurry.</t>
  </si>
  <si>
    <t>Horse feed mechanics are not intuitive.</t>
  </si>
  <si>
    <t>The game UI lists percentages that have nothing to do with how much horses eat.</t>
  </si>
  <si>
    <t>Though for pigs they are representative of how much pigs eat.</t>
  </si>
  <si>
    <t>Root crops are not mentioned in the game help nor academy, yet they are valid horse feed.</t>
  </si>
  <si>
    <t>You can feed any single crop type only and still achieve 100% horse health.</t>
  </si>
  <si>
    <t>The different horse feed types appear to be purely player preference.</t>
  </si>
  <si>
    <t>Horses always eat a fixed amount of each given feed type.</t>
  </si>
  <si>
    <t>For example, feeding root crops in addition to base feed does not change the amount of base feed consumed.</t>
  </si>
  <si>
    <t>After choosing your preferred feed type, you can ignore the other numbers.</t>
  </si>
  <si>
    <t>Name</t>
  </si>
  <si>
    <t>Yield</t>
  </si>
  <si>
    <t>Chaff Mulitplier</t>
  </si>
  <si>
    <t>Chaff Yield</t>
  </si>
  <si>
    <t>Yield With Bonus</t>
  </si>
  <si>
    <t>Chaff Yield With Bonus</t>
  </si>
  <si>
    <t>Grass</t>
  </si>
  <si>
    <t>Soybean</t>
  </si>
  <si>
    <t>yield bonus scalar</t>
  </si>
  <si>
    <t>base prod rate</t>
  </si>
  <si>
    <t>straw bonus</t>
  </si>
  <si>
    <t>prod with straw</t>
  </si>
  <si>
    <t>buffalo milk scalar</t>
  </si>
  <si>
    <t>base milk price</t>
  </si>
  <si>
    <t>cow difficulty scalar</t>
  </si>
  <si>
    <t>difficulty scaled price</t>
  </si>
  <si>
    <t>opt seasonal price scalar</t>
  </si>
  <si>
    <t>unit milk price</t>
  </si>
  <si>
    <t>is dairy?</t>
  </si>
  <si>
    <t>cattle type</t>
  </si>
  <si>
    <t>mineral feed price</t>
  </si>
  <si>
    <t>feed type is tmr</t>
  </si>
  <si>
    <t>straw bonus yield</t>
  </si>
  <si>
    <t>chx monthly feed total</t>
  </si>
  <si>
    <t>chx yearly feed total</t>
  </si>
  <si>
    <t>egg price scalar</t>
  </si>
  <si>
    <t>egg base price</t>
  </si>
  <si>
    <t>egg sell price</t>
  </si>
  <si>
    <t>chicken difficulty scalar</t>
  </si>
  <si>
    <t>chicken yield scalar</t>
  </si>
  <si>
    <t>base wool price</t>
  </si>
  <si>
    <t>wool price scalar</t>
  </si>
  <si>
    <t>sheep difficulty scalar</t>
  </si>
  <si>
    <t>real wool sell price</t>
  </si>
  <si>
    <t>monthly feed per sheep</t>
  </si>
  <si>
    <t>monthly wool per sheep</t>
  </si>
  <si>
    <t>sheep yield bonus scalar</t>
  </si>
  <si>
    <t>base goat milk price</t>
  </si>
  <si>
    <t>goat milk price scalar</t>
  </si>
  <si>
    <t>real goat milk price</t>
  </si>
  <si>
    <t>pig feed per month</t>
  </si>
  <si>
    <t>pig yield bonus scalar</t>
  </si>
  <si>
    <t>pig base liters</t>
  </si>
  <si>
    <t>pig grain liters</t>
  </si>
  <si>
    <t>pig protein liters</t>
  </si>
  <si>
    <t>pig root liters</t>
  </si>
  <si>
    <t>pig monthly feed total</t>
  </si>
  <si>
    <t>pig yearly feed total</t>
  </si>
  <si>
    <t>horse base feed per month</t>
  </si>
  <si>
    <t>horse hay feed per month</t>
  </si>
  <si>
    <t>horse root feed per month</t>
  </si>
  <si>
    <t>horse yield scalar</t>
  </si>
  <si>
    <t>Ingredient Name</t>
  </si>
  <si>
    <t>Need Liters/Month</t>
  </si>
  <si>
    <t>TMR Need/mo Toggle</t>
  </si>
  <si>
    <t>Need Liters/Year</t>
  </si>
  <si>
    <t>Month Num</t>
  </si>
  <si>
    <t>Month Name</t>
  </si>
  <si>
    <t>Milk Price Scalar</t>
  </si>
  <si>
    <t>MAR</t>
  </si>
  <si>
    <t>APR</t>
  </si>
  <si>
    <t>MAY</t>
  </si>
  <si>
    <t>JUN</t>
  </si>
  <si>
    <t>JUL</t>
  </si>
  <si>
    <t>AGU</t>
  </si>
  <si>
    <t>SEP</t>
  </si>
  <si>
    <t>OCT</t>
  </si>
  <si>
    <t>NOV</t>
  </si>
  <si>
    <t>DEC</t>
  </si>
  <si>
    <t>JAN</t>
  </si>
  <si>
    <t>FEB</t>
  </si>
  <si>
    <t>average</t>
  </si>
  <si>
    <t>max</t>
  </si>
  <si>
    <t>Manure Rate</t>
  </si>
  <si>
    <t>Straw Rate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</si>
</sst>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quot;$&quot;#,##0"/>
    <numFmt numFmtId="166" formatCode="#,##0.0000"/>
  </numFmts>
  <fonts count="8">
    <font>
      <sz val="10.0"/>
      <color rgb="FF000000"/>
      <name val="Arial"/>
      <scheme val="minor"/>
    </font>
    <font>
      <b/>
      <color theme="1"/>
      <name val="Arial"/>
      <scheme val="minor"/>
    </font>
    <font>
      <color theme="1"/>
      <name val="Arial"/>
      <scheme val="minor"/>
    </font>
    <font>
      <b/>
      <color rgb="FF000000"/>
      <name val="Arial"/>
      <scheme val="minor"/>
    </font>
    <font/>
    <font>
      <i/>
      <color theme="1"/>
      <name val="Arial"/>
      <scheme val="minor"/>
    </font>
    <font>
      <color rgb="FFB45F06"/>
      <name val="Arial"/>
      <scheme val="minor"/>
    </font>
    <font>
      <color rgb="FFB7B7B7"/>
      <name val="Arial"/>
      <scheme val="minor"/>
    </font>
  </fonts>
  <fills count="12">
    <fill>
      <patternFill patternType="none"/>
    </fill>
    <fill>
      <patternFill patternType="lightGray"/>
    </fill>
    <fill>
      <patternFill patternType="solid">
        <fgColor rgb="FFD9D9D9"/>
        <bgColor rgb="FFD9D9D9"/>
      </patternFill>
    </fill>
    <fill>
      <patternFill patternType="solid">
        <fgColor rgb="FFD9EAD3"/>
        <bgColor rgb="FFD9EAD3"/>
      </patternFill>
    </fill>
    <fill>
      <patternFill patternType="solid">
        <fgColor rgb="FFD0E0E3"/>
        <bgColor rgb="FFD0E0E3"/>
      </patternFill>
    </fill>
    <fill>
      <patternFill patternType="solid">
        <fgColor rgb="FFFFF2CC"/>
        <bgColor rgb="FFFFF2CC"/>
      </patternFill>
    </fill>
    <fill>
      <patternFill patternType="solid">
        <fgColor rgb="FFC9DAF8"/>
        <bgColor rgb="FFC9DAF8"/>
      </patternFill>
    </fill>
    <fill>
      <patternFill patternType="solid">
        <fgColor rgb="FFEFEFEF"/>
        <bgColor rgb="FFEFEFEF"/>
      </patternFill>
    </fill>
    <fill>
      <patternFill patternType="solid">
        <fgColor rgb="FFEAD1DC"/>
        <bgColor rgb="FFEAD1DC"/>
      </patternFill>
    </fill>
    <fill>
      <patternFill patternType="solid">
        <fgColor rgb="FFFCE5CD"/>
        <bgColor rgb="FFFCE5CD"/>
      </patternFill>
    </fill>
    <fill>
      <patternFill patternType="solid">
        <fgColor rgb="FFCFE2F3"/>
        <bgColor rgb="FFCFE2F3"/>
      </patternFill>
    </fill>
    <fill>
      <patternFill patternType="solid">
        <fgColor rgb="FFD9D2E9"/>
        <bgColor rgb="FFD9D2E9"/>
      </patternFill>
    </fill>
  </fills>
  <borders count="22">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dotted">
        <color rgb="FF000000"/>
      </bottom>
    </border>
    <border>
      <bottom style="dotted">
        <color rgb="FF000000"/>
      </bottom>
    </border>
    <border>
      <right style="thin">
        <color rgb="FF000000"/>
      </right>
      <bottom style="dotted">
        <color rgb="FF000000"/>
      </bottom>
    </border>
    <border>
      <left style="thin">
        <color rgb="FF000000"/>
      </left>
      <right style="thin">
        <color rgb="FF000000"/>
      </right>
      <top style="thin">
        <color rgb="FF000000"/>
      </top>
      <bottom style="thin">
        <color rgb="FF000000"/>
      </bottom>
    </border>
    <border>
      <left style="thin">
        <color rgb="FF000000"/>
      </left>
      <right style="dotted">
        <color rgb="FF000000"/>
      </right>
    </border>
    <border>
      <left style="thin">
        <color rgb="FF000000"/>
      </left>
      <right style="dotted">
        <color rgb="FF000000"/>
      </right>
      <bottom style="thin">
        <color rgb="FF000000"/>
      </bottom>
    </border>
    <border>
      <left style="dotted">
        <color rgb="FF000000"/>
      </left>
    </border>
    <border>
      <left style="dotted">
        <color rgb="FF000000"/>
      </left>
      <bottom style="thin">
        <color rgb="FF000000"/>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2" fontId="1" numFmtId="0" xfId="0" applyAlignment="1" applyBorder="1" applyFont="1">
      <alignment horizontal="center" readingOrder="0"/>
    </xf>
    <xf borderId="3" fillId="2" fontId="1" numFmtId="0" xfId="0" applyAlignment="1" applyBorder="1" applyFont="1">
      <alignment horizontal="center"/>
    </xf>
    <xf borderId="4" fillId="3" fontId="2" numFmtId="164" xfId="0" applyBorder="1" applyFill="1" applyFont="1" applyNumberFormat="1"/>
    <xf borderId="5" fillId="4" fontId="2" numFmtId="164" xfId="0" applyBorder="1" applyFill="1" applyFont="1" applyNumberFormat="1"/>
    <xf borderId="4" fillId="5" fontId="2" numFmtId="0" xfId="0" applyAlignment="1" applyBorder="1" applyFill="1" applyFont="1">
      <alignment horizontal="center" readingOrder="0"/>
    </xf>
    <xf borderId="6" fillId="5" fontId="2" numFmtId="0" xfId="0" applyAlignment="1" applyBorder="1" applyFont="1">
      <alignment horizontal="center" readingOrder="0"/>
    </xf>
    <xf borderId="5" fillId="5" fontId="2" numFmtId="0" xfId="0" applyAlignment="1" applyBorder="1" applyFont="1">
      <alignment readingOrder="0"/>
    </xf>
    <xf borderId="5" fillId="5" fontId="2" numFmtId="0" xfId="0" applyAlignment="1" applyBorder="1" applyFont="1">
      <alignment horizontal="center" readingOrder="0"/>
    </xf>
    <xf borderId="1" fillId="2" fontId="3" numFmtId="0" xfId="0" applyAlignment="1" applyBorder="1" applyFont="1">
      <alignment horizontal="center" readingOrder="0"/>
    </xf>
    <xf borderId="7" fillId="6" fontId="2" numFmtId="0" xfId="0" applyAlignment="1" applyBorder="1" applyFill="1" applyFont="1">
      <alignment horizontal="center" readingOrder="0"/>
    </xf>
    <xf borderId="8" fillId="0" fontId="4" numFmtId="0" xfId="0" applyBorder="1" applyFont="1"/>
    <xf borderId="9" fillId="0" fontId="4" numFmtId="0" xfId="0" applyBorder="1" applyFont="1"/>
    <xf borderId="0" fillId="0" fontId="5" numFmtId="0" xfId="0" applyAlignment="1" applyFont="1">
      <alignment horizontal="center" readingOrder="0"/>
    </xf>
    <xf borderId="5" fillId="5" fontId="2" numFmtId="10" xfId="0" applyAlignment="1" applyBorder="1" applyFont="1" applyNumberFormat="1">
      <alignment horizontal="center" readingOrder="0"/>
    </xf>
    <xf borderId="10" fillId="2" fontId="1" numFmtId="0" xfId="0" applyAlignment="1" applyBorder="1" applyFont="1">
      <alignment horizontal="center" readingOrder="0"/>
    </xf>
    <xf borderId="0" fillId="2" fontId="1" numFmtId="0" xfId="0" applyAlignment="1" applyFont="1">
      <alignment horizontal="center" readingOrder="0"/>
    </xf>
    <xf borderId="11" fillId="2" fontId="1" numFmtId="0" xfId="0" applyAlignment="1" applyBorder="1" applyFont="1">
      <alignment horizontal="center" readingOrder="0"/>
    </xf>
    <xf borderId="12" fillId="2" fontId="2" numFmtId="0" xfId="0" applyAlignment="1" applyBorder="1" applyFont="1">
      <alignment horizontal="center" readingOrder="0"/>
    </xf>
    <xf borderId="4" fillId="5" fontId="2" numFmtId="10" xfId="0" applyAlignment="1" applyBorder="1" applyFont="1" applyNumberFormat="1">
      <alignment horizontal="center" readingOrder="0"/>
    </xf>
    <xf borderId="6" fillId="5" fontId="2" numFmtId="10" xfId="0" applyAlignment="1" applyBorder="1" applyFont="1" applyNumberFormat="1">
      <alignment horizontal="center" readingOrder="0"/>
    </xf>
    <xf borderId="13" fillId="7" fontId="2" numFmtId="10" xfId="0" applyAlignment="1" applyBorder="1" applyFill="1" applyFont="1" applyNumberFormat="1">
      <alignment horizontal="center"/>
    </xf>
    <xf borderId="0" fillId="0" fontId="5" numFmtId="0" xfId="0" applyAlignment="1" applyFont="1">
      <alignment horizontal="left" readingOrder="0"/>
    </xf>
    <xf borderId="10" fillId="0" fontId="2" numFmtId="0" xfId="0" applyAlignment="1" applyBorder="1" applyFont="1">
      <alignment readingOrder="0"/>
    </xf>
    <xf borderId="0" fillId="0" fontId="2" numFmtId="3" xfId="0" applyFont="1" applyNumberFormat="1"/>
    <xf borderId="11" fillId="0" fontId="2" numFmtId="3" xfId="0" applyBorder="1" applyFont="1" applyNumberFormat="1"/>
    <xf borderId="3" fillId="2" fontId="1" numFmtId="0" xfId="0" applyAlignment="1" applyBorder="1" applyFont="1">
      <alignment horizontal="center" readingOrder="0"/>
    </xf>
    <xf borderId="0" fillId="0" fontId="2" numFmtId="4" xfId="0" applyFont="1" applyNumberFormat="1"/>
    <xf borderId="0" fillId="0" fontId="2" numFmtId="164" xfId="0" applyFont="1" applyNumberFormat="1"/>
    <xf borderId="11" fillId="0" fontId="2" numFmtId="164" xfId="0" applyBorder="1" applyFont="1" applyNumberFormat="1"/>
    <xf borderId="4" fillId="0" fontId="2" numFmtId="0" xfId="0" applyAlignment="1" applyBorder="1" applyFont="1">
      <alignment readingOrder="0"/>
    </xf>
    <xf borderId="6" fillId="0" fontId="2" numFmtId="4" xfId="0" applyBorder="1" applyFont="1" applyNumberFormat="1"/>
    <xf borderId="6" fillId="0" fontId="2" numFmtId="0" xfId="0" applyBorder="1" applyFont="1"/>
    <xf borderId="5" fillId="0" fontId="2" numFmtId="0" xfId="0" applyBorder="1" applyFont="1"/>
    <xf borderId="6" fillId="0" fontId="2" numFmtId="3" xfId="0" applyBorder="1" applyFont="1" applyNumberFormat="1"/>
    <xf borderId="5" fillId="0" fontId="2" numFmtId="3" xfId="0" applyBorder="1" applyFont="1" applyNumberFormat="1"/>
    <xf borderId="0" fillId="0" fontId="2" numFmtId="0" xfId="0" applyAlignment="1" applyFont="1">
      <alignment readingOrder="0"/>
    </xf>
    <xf borderId="1" fillId="5" fontId="2" numFmtId="165" xfId="0" applyAlignment="1" applyBorder="1" applyFont="1" applyNumberFormat="1">
      <alignment horizontal="right" readingOrder="0"/>
    </xf>
    <xf borderId="2" fillId="2" fontId="1" numFmtId="0" xfId="0" applyAlignment="1" applyBorder="1" applyFont="1">
      <alignment readingOrder="0"/>
    </xf>
    <xf borderId="0" fillId="0" fontId="2" numFmtId="0" xfId="0" applyFont="1"/>
    <xf borderId="10" fillId="5" fontId="2" numFmtId="0" xfId="0" applyAlignment="1" applyBorder="1" applyFont="1">
      <alignment readingOrder="0"/>
    </xf>
    <xf borderId="11" fillId="2" fontId="1" numFmtId="0" xfId="0" applyAlignment="1" applyBorder="1" applyFont="1">
      <alignment readingOrder="0"/>
    </xf>
    <xf borderId="11" fillId="0" fontId="2" numFmtId="4" xfId="0" applyBorder="1" applyFont="1" applyNumberFormat="1"/>
    <xf borderId="4" fillId="3" fontId="2" numFmtId="165" xfId="0" applyBorder="1" applyFont="1" applyNumberFormat="1"/>
    <xf borderId="5" fillId="2" fontId="1" numFmtId="0" xfId="0" applyAlignment="1" applyBorder="1" applyFont="1">
      <alignment readingOrder="0"/>
    </xf>
    <xf borderId="14" fillId="0" fontId="6" numFmtId="0" xfId="0" applyAlignment="1" applyBorder="1" applyFont="1">
      <alignment readingOrder="0"/>
    </xf>
    <xf borderId="15" fillId="0" fontId="6" numFmtId="4" xfId="0" applyBorder="1" applyFont="1" applyNumberFormat="1"/>
    <xf borderId="16" fillId="0" fontId="6" numFmtId="4" xfId="0" applyBorder="1" applyFont="1" applyNumberFormat="1"/>
    <xf borderId="0" fillId="0" fontId="5" numFmtId="0" xfId="0" applyAlignment="1" applyFont="1">
      <alignment readingOrder="0"/>
    </xf>
    <xf borderId="5" fillId="0" fontId="2" numFmtId="4" xfId="0" applyBorder="1" applyFont="1" applyNumberFormat="1"/>
    <xf borderId="0" fillId="0" fontId="2" numFmtId="0" xfId="0" applyAlignment="1" applyFont="1">
      <alignment readingOrder="0"/>
    </xf>
    <xf borderId="12" fillId="2" fontId="1" numFmtId="0" xfId="0" applyAlignment="1" applyBorder="1" applyFont="1">
      <alignment horizontal="center" readingOrder="0"/>
    </xf>
    <xf borderId="13" fillId="5" fontId="2" numFmtId="0" xfId="0" applyAlignment="1" applyBorder="1" applyFont="1">
      <alignment horizontal="center" readingOrder="0"/>
    </xf>
    <xf borderId="10" fillId="3" fontId="2" numFmtId="164" xfId="0" applyBorder="1" applyFont="1" applyNumberFormat="1"/>
    <xf borderId="11" fillId="4" fontId="2" numFmtId="164" xfId="0" applyBorder="1" applyFont="1" applyNumberFormat="1"/>
    <xf borderId="10" fillId="0" fontId="2" numFmtId="4" xfId="0" applyBorder="1" applyFont="1" applyNumberFormat="1"/>
    <xf borderId="4" fillId="0" fontId="2" numFmtId="3" xfId="0" applyBorder="1" applyFont="1" applyNumberFormat="1"/>
    <xf borderId="1" fillId="8" fontId="1" numFmtId="0" xfId="0" applyAlignment="1" applyBorder="1" applyFill="1" applyFont="1">
      <alignment horizontal="center" readingOrder="0"/>
    </xf>
    <xf borderId="2" fillId="0" fontId="4" numFmtId="0" xfId="0" applyBorder="1" applyFont="1"/>
    <xf borderId="4" fillId="0" fontId="2" numFmtId="166" xfId="0" applyBorder="1" applyFont="1" applyNumberFormat="1"/>
    <xf borderId="5" fillId="0" fontId="2" numFmtId="166" xfId="0" applyBorder="1" applyFont="1" applyNumberFormat="1"/>
    <xf borderId="0" fillId="0" fontId="1" numFmtId="0" xfId="0" applyAlignment="1" applyFont="1">
      <alignment horizontal="center" readingOrder="0"/>
    </xf>
    <xf borderId="7" fillId="2" fontId="1" numFmtId="0" xfId="0" applyAlignment="1" applyBorder="1" applyFont="1">
      <alignment horizontal="center" readingOrder="0"/>
    </xf>
    <xf borderId="9" fillId="2" fontId="1" numFmtId="0" xfId="0" applyAlignment="1" applyBorder="1" applyFont="1">
      <alignment horizontal="center" readingOrder="0"/>
    </xf>
    <xf borderId="1" fillId="3" fontId="2" numFmtId="164" xfId="0" applyBorder="1" applyFont="1" applyNumberFormat="1"/>
    <xf borderId="2" fillId="4" fontId="2" numFmtId="164" xfId="0" applyBorder="1" applyFont="1" applyNumberFormat="1"/>
    <xf borderId="10" fillId="0" fontId="2" numFmtId="0" xfId="0" applyBorder="1" applyFont="1"/>
    <xf borderId="11" fillId="0" fontId="2" numFmtId="0" xfId="0" applyAlignment="1" applyBorder="1" applyFont="1">
      <alignment readingOrder="0"/>
    </xf>
    <xf borderId="1" fillId="2" fontId="1" numFmtId="0" xfId="0" applyAlignment="1" applyBorder="1" applyFont="1">
      <alignment horizontal="right" readingOrder="0"/>
    </xf>
    <xf borderId="2" fillId="5" fontId="2" numFmtId="0" xfId="0" applyAlignment="1" applyBorder="1" applyFont="1">
      <alignment horizontal="center" readingOrder="0"/>
    </xf>
    <xf borderId="11" fillId="0" fontId="2" numFmtId="0" xfId="0" applyBorder="1" applyFont="1"/>
    <xf borderId="4" fillId="2" fontId="1" numFmtId="0" xfId="0" applyAlignment="1" applyBorder="1" applyFont="1">
      <alignment horizontal="right" readingOrder="0"/>
    </xf>
    <xf borderId="4" fillId="0" fontId="2" numFmtId="0" xfId="0" applyBorder="1" applyFont="1"/>
    <xf borderId="5" fillId="0" fontId="2" numFmtId="0" xfId="0" applyAlignment="1" applyBorder="1" applyFont="1">
      <alignment readingOrder="0"/>
    </xf>
    <xf borderId="7" fillId="8" fontId="1" numFmtId="0" xfId="0" applyAlignment="1" applyBorder="1" applyFont="1">
      <alignment horizontal="center" readingOrder="0"/>
    </xf>
    <xf borderId="7" fillId="2" fontId="1" numFmtId="0" xfId="0" applyAlignment="1" applyBorder="1" applyFont="1">
      <alignment horizontal="right" readingOrder="0"/>
    </xf>
    <xf borderId="9" fillId="5" fontId="2" numFmtId="10" xfId="0" applyAlignment="1" applyBorder="1" applyFont="1" applyNumberFormat="1">
      <alignment horizontal="left" readingOrder="0"/>
    </xf>
    <xf borderId="10" fillId="0" fontId="2" numFmtId="166" xfId="0" applyAlignment="1" applyBorder="1" applyFont="1" applyNumberFormat="1">
      <alignment horizontal="center"/>
    </xf>
    <xf borderId="11" fillId="0" fontId="2" numFmtId="166" xfId="0" applyAlignment="1" applyBorder="1" applyFont="1" applyNumberFormat="1">
      <alignment horizontal="center"/>
    </xf>
    <xf borderId="4" fillId="0" fontId="2" numFmtId="166" xfId="0" applyAlignment="1" applyBorder="1" applyFont="1" applyNumberFormat="1">
      <alignment horizontal="center"/>
    </xf>
    <xf borderId="5" fillId="0" fontId="2" numFmtId="166" xfId="0" applyAlignment="1" applyBorder="1" applyFont="1" applyNumberFormat="1">
      <alignment horizontal="center"/>
    </xf>
    <xf borderId="10" fillId="0" fontId="2" numFmtId="165" xfId="0" applyBorder="1" applyFont="1" applyNumberFormat="1"/>
    <xf borderId="0" fillId="0" fontId="2" numFmtId="0" xfId="0" applyFont="1"/>
    <xf borderId="11" fillId="9" fontId="2" numFmtId="164" xfId="0" applyAlignment="1" applyBorder="1" applyFill="1" applyFont="1" applyNumberFormat="1">
      <alignment horizontal="center"/>
    </xf>
    <xf borderId="4" fillId="0" fontId="2" numFmtId="165" xfId="0" applyBorder="1" applyFont="1" applyNumberFormat="1"/>
    <xf borderId="5" fillId="9" fontId="2" numFmtId="164" xfId="0" applyAlignment="1" applyBorder="1" applyFont="1" applyNumberFormat="1">
      <alignment horizontal="center"/>
    </xf>
    <xf borderId="0" fillId="0" fontId="2" numFmtId="0" xfId="0" applyAlignment="1" applyFont="1">
      <alignment horizontal="center" readingOrder="0"/>
    </xf>
    <xf borderId="1" fillId="10" fontId="1" numFmtId="0" xfId="0" applyAlignment="1" applyBorder="1" applyFill="1" applyFont="1">
      <alignment horizontal="center" readingOrder="0"/>
    </xf>
    <xf borderId="3" fillId="0" fontId="4" numFmtId="0" xfId="0" applyBorder="1" applyFont="1"/>
    <xf borderId="7" fillId="6" fontId="1" numFmtId="0" xfId="0" applyAlignment="1" applyBorder="1" applyFont="1">
      <alignment horizontal="center" readingOrder="0"/>
    </xf>
    <xf borderId="0" fillId="0" fontId="7" numFmtId="0" xfId="0" applyFont="1"/>
    <xf borderId="4" fillId="0" fontId="2" numFmtId="3" xfId="0" applyAlignment="1" applyBorder="1" applyFont="1" applyNumberFormat="1">
      <alignment horizontal="center"/>
    </xf>
    <xf borderId="6" fillId="0" fontId="2" numFmtId="3" xfId="0" applyAlignment="1" applyBorder="1" applyFont="1" applyNumberFormat="1">
      <alignment horizontal="center"/>
    </xf>
    <xf borderId="5" fillId="0" fontId="2" numFmtId="3" xfId="0" applyAlignment="1" applyBorder="1" applyFont="1" applyNumberFormat="1">
      <alignment horizontal="center"/>
    </xf>
    <xf borderId="1" fillId="6" fontId="1" numFmtId="0" xfId="0" applyAlignment="1" applyBorder="1" applyFont="1">
      <alignment horizontal="center" readingOrder="0"/>
    </xf>
    <xf borderId="17" fillId="2" fontId="1" numFmtId="0" xfId="0" applyAlignment="1" applyBorder="1" applyFont="1">
      <alignment horizontal="center" readingOrder="0"/>
    </xf>
    <xf borderId="18" fillId="11" fontId="2" numFmtId="0" xfId="0" applyAlignment="1" applyBorder="1" applyFill="1" applyFont="1">
      <alignment horizontal="right" readingOrder="0"/>
    </xf>
    <xf borderId="0" fillId="5" fontId="2" numFmtId="10" xfId="0" applyAlignment="1" applyFont="1" applyNumberFormat="1">
      <alignment readingOrder="0"/>
    </xf>
    <xf borderId="11" fillId="11" fontId="2" numFmtId="0" xfId="0" applyAlignment="1" applyBorder="1" applyFont="1">
      <alignment horizontal="left" readingOrder="0"/>
    </xf>
    <xf borderId="10" fillId="0" fontId="2" numFmtId="166" xfId="0" applyBorder="1" applyFont="1" applyNumberFormat="1"/>
    <xf borderId="11" fillId="0" fontId="2" numFmtId="166" xfId="0" applyBorder="1" applyFont="1" applyNumberFormat="1"/>
    <xf borderId="11" fillId="0" fontId="2" numFmtId="3" xfId="0" applyBorder="1" applyFont="1" applyNumberFormat="1"/>
    <xf borderId="18" fillId="11" fontId="2" numFmtId="9" xfId="0" applyAlignment="1" applyBorder="1" applyFont="1" applyNumberFormat="1">
      <alignment horizontal="right" readingOrder="0"/>
    </xf>
    <xf borderId="18" fillId="0" fontId="2" numFmtId="0" xfId="0" applyAlignment="1" applyBorder="1" applyFont="1">
      <alignment horizontal="right"/>
    </xf>
    <xf borderId="0" fillId="0" fontId="2" numFmtId="10" xfId="0" applyFont="1" applyNumberFormat="1"/>
    <xf borderId="11" fillId="0" fontId="2" numFmtId="0" xfId="0" applyAlignment="1" applyBorder="1" applyFont="1">
      <alignment horizontal="left"/>
    </xf>
    <xf borderId="18" fillId="11" fontId="2" numFmtId="0" xfId="0" applyAlignment="1" applyBorder="1" applyFont="1">
      <alignment horizontal="right"/>
    </xf>
    <xf borderId="19" fillId="11" fontId="2" numFmtId="0" xfId="0" applyAlignment="1" applyBorder="1" applyFont="1">
      <alignment horizontal="right" readingOrder="0"/>
    </xf>
    <xf borderId="11" fillId="0" fontId="2" numFmtId="10" xfId="0" applyBorder="1" applyFont="1" applyNumberFormat="1"/>
    <xf borderId="6" fillId="5" fontId="2" numFmtId="10" xfId="0" applyAlignment="1" applyBorder="1" applyFont="1" applyNumberFormat="1">
      <alignment readingOrder="0"/>
    </xf>
    <xf borderId="5" fillId="11" fontId="2" numFmtId="0" xfId="0" applyAlignment="1" applyBorder="1" applyFont="1">
      <alignment horizontal="left" readingOrder="0"/>
    </xf>
    <xf borderId="5" fillId="0" fontId="2" numFmtId="3" xfId="0" applyBorder="1" applyFont="1" applyNumberFormat="1"/>
    <xf borderId="1" fillId="2" fontId="1" numFmtId="0" xfId="0" applyAlignment="1" applyBorder="1" applyFont="1">
      <alignment horizontal="center"/>
    </xf>
    <xf borderId="4" fillId="0" fontId="2" numFmtId="0" xfId="0" applyAlignment="1" applyBorder="1" applyFont="1">
      <alignment horizontal="center"/>
    </xf>
    <xf borderId="5" fillId="0" fontId="2" numFmtId="0" xfId="0" applyAlignment="1" applyBorder="1" applyFont="1">
      <alignment horizontal="center"/>
    </xf>
    <xf borderId="8" fillId="2" fontId="1" numFmtId="0" xfId="0" applyAlignment="1" applyBorder="1" applyFont="1">
      <alignment horizontal="center" readingOrder="0"/>
    </xf>
    <xf borderId="4" fillId="2" fontId="1" numFmtId="0" xfId="0" applyAlignment="1" applyBorder="1" applyFont="1">
      <alignment horizontal="center" readingOrder="0"/>
    </xf>
    <xf borderId="5" fillId="2" fontId="1" numFmtId="0" xfId="0" applyAlignment="1" applyBorder="1" applyFont="1">
      <alignment horizontal="center" readingOrder="0"/>
    </xf>
    <xf borderId="18" fillId="11" fontId="2" numFmtId="0" xfId="0" applyBorder="1" applyFont="1"/>
    <xf borderId="0" fillId="11" fontId="2" numFmtId="0" xfId="0" applyFont="1"/>
    <xf borderId="20" fillId="5" fontId="2" numFmtId="10" xfId="0" applyAlignment="1" applyBorder="1" applyFont="1" applyNumberFormat="1">
      <alignment readingOrder="0"/>
    </xf>
    <xf borderId="18" fillId="11" fontId="2" numFmtId="0" xfId="0" applyBorder="1" applyFont="1"/>
    <xf borderId="18" fillId="0" fontId="2" numFmtId="0" xfId="0" applyBorder="1" applyFont="1"/>
    <xf borderId="20" fillId="0" fontId="2" numFmtId="10" xfId="0" applyBorder="1" applyFont="1" applyNumberFormat="1"/>
    <xf borderId="19" fillId="11" fontId="2" numFmtId="0" xfId="0" applyBorder="1" applyFont="1"/>
    <xf borderId="6" fillId="11" fontId="2" numFmtId="0" xfId="0" applyBorder="1" applyFont="1"/>
    <xf borderId="21" fillId="5" fontId="2" numFmtId="10" xfId="0" applyAlignment="1" applyBorder="1" applyFont="1" applyNumberFormat="1">
      <alignment readingOrder="0"/>
    </xf>
    <xf borderId="0" fillId="0" fontId="2" numFmtId="0" xfId="0" applyAlignment="1" applyFont="1">
      <alignment horizontal="center"/>
    </xf>
    <xf borderId="0" fillId="0" fontId="2" numFmtId="3" xfId="0" applyFont="1" applyNumberFormat="1"/>
    <xf borderId="0" fillId="0" fontId="2"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25"/>
    <col customWidth="1" min="2" max="4" width="15.5"/>
    <col customWidth="1" min="5" max="5" width="2.75"/>
    <col customWidth="1" min="6" max="6" width="18.5"/>
    <col customWidth="1" min="7" max="7" width="16.88"/>
    <col customWidth="1" min="8" max="8" width="20.13"/>
    <col customWidth="1" min="9" max="9" width="19.38"/>
    <col customWidth="1" min="10" max="10" width="16.75"/>
    <col customWidth="1" min="11" max="11" width="17.5"/>
    <col customWidth="1" min="12" max="12" width="15.63"/>
    <col customWidth="1" min="13" max="13" width="19.38"/>
  </cols>
  <sheetData>
    <row r="2">
      <c r="C2" s="1" t="s">
        <v>0</v>
      </c>
      <c r="D2" s="2" t="s">
        <v>1</v>
      </c>
      <c r="F2" s="1" t="s">
        <v>2</v>
      </c>
      <c r="G2" s="3" t="s">
        <v>3</v>
      </c>
      <c r="H2" s="3" t="s">
        <v>4</v>
      </c>
      <c r="I2" s="2" t="s">
        <v>5</v>
      </c>
      <c r="J2" s="2" t="s">
        <v>6</v>
      </c>
    </row>
    <row r="3">
      <c r="C3" s="4">
        <f>product(D3,12)</f>
        <v>49442.39995</v>
      </c>
      <c r="D3" s="5">
        <f>product(Var!B12,D10)</f>
        <v>4120.199996</v>
      </c>
      <c r="F3" s="6" t="s">
        <v>7</v>
      </c>
      <c r="G3" s="7" t="s">
        <v>8</v>
      </c>
      <c r="H3" s="7" t="s">
        <v>9</v>
      </c>
      <c r="I3" s="8" t="s">
        <v>10</v>
      </c>
      <c r="J3" s="9">
        <v>2.0</v>
      </c>
    </row>
    <row r="5">
      <c r="B5" s="10" t="s">
        <v>11</v>
      </c>
      <c r="C5" s="3" t="s">
        <v>12</v>
      </c>
      <c r="D5" s="2" t="s">
        <v>13</v>
      </c>
      <c r="F5" s="11" t="s">
        <v>14</v>
      </c>
      <c r="G5" s="12"/>
      <c r="H5" s="12"/>
      <c r="I5" s="13"/>
      <c r="J5" s="14" t="s">
        <v>15</v>
      </c>
    </row>
    <row r="6">
      <c r="B6" s="6">
        <v>12.0</v>
      </c>
      <c r="C6" s="7">
        <v>1.0</v>
      </c>
      <c r="D6" s="15">
        <v>0.425</v>
      </c>
      <c r="F6" s="16" t="s">
        <v>16</v>
      </c>
      <c r="G6" s="17" t="s">
        <v>17</v>
      </c>
      <c r="H6" s="17" t="s">
        <v>18</v>
      </c>
      <c r="I6" s="18" t="s">
        <v>19</v>
      </c>
      <c r="J6" s="19" t="s">
        <v>20</v>
      </c>
    </row>
    <row r="7">
      <c r="F7" s="20">
        <v>0.3744</v>
      </c>
      <c r="G7" s="21">
        <v>0.3744</v>
      </c>
      <c r="H7" s="21">
        <v>0.2032</v>
      </c>
      <c r="I7" s="15">
        <v>0.048</v>
      </c>
      <c r="J7" s="22">
        <f>sum($F$7:$I$7)</f>
        <v>1</v>
      </c>
    </row>
    <row r="8">
      <c r="B8" s="11" t="s">
        <v>21</v>
      </c>
      <c r="C8" s="12"/>
      <c r="D8" s="13"/>
    </row>
    <row r="9">
      <c r="B9" s="16" t="s">
        <v>22</v>
      </c>
      <c r="C9" s="17" t="s">
        <v>23</v>
      </c>
      <c r="D9" s="18" t="s">
        <v>24</v>
      </c>
      <c r="F9" s="23" t="s">
        <v>25</v>
      </c>
      <c r="G9" s="23"/>
      <c r="H9" s="23"/>
      <c r="I9" s="23"/>
      <c r="J9" s="23"/>
    </row>
    <row r="10">
      <c r="B10" s="24" t="s">
        <v>26</v>
      </c>
      <c r="C10" s="25">
        <f t="shared" ref="C10:C14" si="1">PRODUCT(12,$D10)</f>
        <v>21599.99998</v>
      </c>
      <c r="D10" s="26">
        <f>PRODUCT(B6,Rate!$B2,Var!$B$4)</f>
        <v>1799.999998</v>
      </c>
      <c r="F10" s="1" t="s">
        <v>27</v>
      </c>
      <c r="G10" s="27" t="s">
        <v>28</v>
      </c>
      <c r="H10" s="27" t="s">
        <v>29</v>
      </c>
      <c r="I10" s="27" t="s">
        <v>30</v>
      </c>
      <c r="J10" s="2" t="s">
        <v>31</v>
      </c>
    </row>
    <row r="11">
      <c r="B11" s="24" t="s">
        <v>32</v>
      </c>
      <c r="C11" s="25">
        <f t="shared" si="1"/>
        <v>-50400</v>
      </c>
      <c r="D11" s="26">
        <f>PRODUCT($B$6,Rate!$B3)</f>
        <v>-4200</v>
      </c>
      <c r="F11" s="24" t="s">
        <v>19</v>
      </c>
      <c r="G11" s="28">
        <f>Part!$C$5*-1</f>
        <v>-201.6</v>
      </c>
      <c r="H11" s="28">
        <f t="shared" ref="H11:H12" si="2">$G11*12</f>
        <v>-2419.2</v>
      </c>
      <c r="I11" s="29">
        <f>$G11*Var!$B$17</f>
        <v>-192</v>
      </c>
      <c r="J11" s="30">
        <f>$I$11*12</f>
        <v>-2304</v>
      </c>
    </row>
    <row r="12">
      <c r="B12" s="24" t="s">
        <v>33</v>
      </c>
      <c r="C12" s="25">
        <f t="shared" si="1"/>
        <v>36000</v>
      </c>
      <c r="D12" s="26">
        <f>PRODUCT($B$6,Rate!$B4,Var!$B$2)</f>
        <v>3000</v>
      </c>
      <c r="F12" s="31" t="s">
        <v>17</v>
      </c>
      <c r="G12" s="32">
        <f>Part!$C$3*-1</f>
        <v>-1572.48</v>
      </c>
      <c r="H12" s="32">
        <f t="shared" si="2"/>
        <v>-18869.76</v>
      </c>
      <c r="I12" s="33"/>
      <c r="J12" s="34"/>
    </row>
    <row r="13">
      <c r="B13" s="24" t="s">
        <v>34</v>
      </c>
      <c r="C13" s="25">
        <f t="shared" si="1"/>
        <v>28800</v>
      </c>
      <c r="D13" s="26">
        <f>PRODUCT(B6,Rate!$B5,Var!$B$2)</f>
        <v>2400</v>
      </c>
      <c r="F13" s="23" t="s">
        <v>35</v>
      </c>
      <c r="G13" s="23"/>
      <c r="H13" s="23"/>
      <c r="I13" s="23"/>
      <c r="J13" s="23"/>
    </row>
    <row r="14">
      <c r="B14" s="31" t="s">
        <v>18</v>
      </c>
      <c r="C14" s="35">
        <f t="shared" si="1"/>
        <v>-13680</v>
      </c>
      <c r="D14" s="36">
        <f>PRODUCT($B$6,Rate!$B6)</f>
        <v>-1140</v>
      </c>
      <c r="J14" s="11" t="s">
        <v>36</v>
      </c>
      <c r="K14" s="13"/>
    </row>
    <row r="15">
      <c r="B15" s="37"/>
      <c r="F15" s="11" t="s">
        <v>37</v>
      </c>
      <c r="G15" s="12"/>
      <c r="H15" s="13"/>
      <c r="J15" s="38">
        <v>3500.0</v>
      </c>
      <c r="K15" s="39" t="s">
        <v>38</v>
      </c>
    </row>
    <row r="16">
      <c r="B16" s="11" t="s">
        <v>39</v>
      </c>
      <c r="C16" s="12"/>
      <c r="D16" s="13"/>
      <c r="E16" s="40"/>
      <c r="F16" s="16" t="s">
        <v>40</v>
      </c>
      <c r="G16" s="17" t="s">
        <v>41</v>
      </c>
      <c r="H16" s="18" t="s">
        <v>42</v>
      </c>
      <c r="I16" s="40"/>
      <c r="J16" s="41">
        <v>4.0</v>
      </c>
      <c r="K16" s="42" t="s">
        <v>43</v>
      </c>
    </row>
    <row r="17">
      <c r="B17" s="16" t="s">
        <v>40</v>
      </c>
      <c r="C17" s="17" t="s">
        <v>41</v>
      </c>
      <c r="D17" s="18" t="s">
        <v>42</v>
      </c>
      <c r="F17" s="24" t="s">
        <v>44</v>
      </c>
      <c r="G17" s="28">
        <f>(Part!$D$4/Var!$B$20)/10000</f>
        <v>0.1952951945</v>
      </c>
      <c r="H17" s="43">
        <f t="shared" ref="H17:H26" si="3">G17/0.4046856</f>
        <v>0.4825849857</v>
      </c>
      <c r="J17" s="44">
        <f>$J$15*$J$16</f>
        <v>14000</v>
      </c>
      <c r="K17" s="45" t="s">
        <v>45</v>
      </c>
    </row>
    <row r="18">
      <c r="B18" s="46" t="s">
        <v>46</v>
      </c>
      <c r="C18" s="47">
        <f>abs($C$14)/Var!$B$20/10000</f>
        <v>0.2608695652</v>
      </c>
      <c r="D18" s="48">
        <f t="shared" ref="D18:D27" si="4">C18/0.4046856</f>
        <v>0.6446228015</v>
      </c>
      <c r="F18" s="24" t="s">
        <v>47</v>
      </c>
      <c r="G18" s="28">
        <f>((Part!$D$2/Yield!F2)/$J$3)/10000</f>
        <v>0.1515095749</v>
      </c>
      <c r="H18" s="43">
        <f t="shared" si="3"/>
        <v>0.374388352</v>
      </c>
      <c r="J18" s="49" t="s">
        <v>48</v>
      </c>
    </row>
    <row r="19">
      <c r="B19" s="24" t="s">
        <v>49</v>
      </c>
      <c r="C19" s="28">
        <f>abs($C$11)/($J$3*Yield!$F2)/10000</f>
        <v>0.4046730098</v>
      </c>
      <c r="D19" s="43">
        <f t="shared" si="4"/>
        <v>0.9999688888</v>
      </c>
      <c r="F19" s="24" t="s">
        <v>50</v>
      </c>
      <c r="G19" s="28">
        <f>(Part!$D$3/Yield!F3)/10000</f>
        <v>0.1845308924</v>
      </c>
      <c r="H19" s="43">
        <f t="shared" si="3"/>
        <v>0.4559858133</v>
      </c>
      <c r="J19" s="49" t="s">
        <v>51</v>
      </c>
      <c r="K19" s="37"/>
    </row>
    <row r="20">
      <c r="B20" s="24" t="s">
        <v>50</v>
      </c>
      <c r="C20" s="28">
        <f>abs($C$11)/Yield!$F3/10000</f>
        <v>0.4928709734</v>
      </c>
      <c r="D20" s="43">
        <f t="shared" si="4"/>
        <v>1.217910826</v>
      </c>
      <c r="F20" s="24" t="s">
        <v>52</v>
      </c>
      <c r="G20" s="28">
        <f>(Part!$D$3/Yield!F4)/10000</f>
        <v>0.3448421053</v>
      </c>
      <c r="H20" s="43">
        <f t="shared" si="3"/>
        <v>0.8521234886</v>
      </c>
      <c r="J20" s="49" t="s">
        <v>53</v>
      </c>
    </row>
    <row r="21">
      <c r="B21" s="24" t="s">
        <v>52</v>
      </c>
      <c r="C21" s="28">
        <f>abs($C$11)/Yield!$F4/10000</f>
        <v>0.9210526316</v>
      </c>
      <c r="D21" s="43">
        <f t="shared" si="4"/>
        <v>2.275970856</v>
      </c>
      <c r="F21" s="24" t="s">
        <v>54</v>
      </c>
      <c r="G21" s="28">
        <f>(Part!$D$3/Yield!F5)/10000</f>
        <v>0.371964518</v>
      </c>
      <c r="H21" s="43">
        <f t="shared" si="3"/>
        <v>0.9191444372</v>
      </c>
      <c r="J21" s="49" t="s">
        <v>55</v>
      </c>
    </row>
    <row r="22">
      <c r="B22" s="24" t="s">
        <v>54</v>
      </c>
      <c r="C22" s="28">
        <f>abs($C$11)/Yield!$F5/10000</f>
        <v>0.9934949734</v>
      </c>
      <c r="D22" s="43">
        <f t="shared" si="4"/>
        <v>2.4549798</v>
      </c>
      <c r="F22" s="24" t="s">
        <v>56</v>
      </c>
      <c r="G22" s="28">
        <f>(Part!$D$3/Yield!F6)/10000</f>
        <v>0.4037175866</v>
      </c>
      <c r="H22" s="43">
        <f t="shared" si="3"/>
        <v>0.9976079867</v>
      </c>
      <c r="J22" s="49" t="s">
        <v>57</v>
      </c>
    </row>
    <row r="23">
      <c r="B23" s="24" t="s">
        <v>56</v>
      </c>
      <c r="C23" s="28">
        <f>abs($C$11)/Yield!$F6/10000</f>
        <v>1.07830552</v>
      </c>
      <c r="D23" s="43">
        <f t="shared" si="4"/>
        <v>2.664551246</v>
      </c>
      <c r="F23" s="24" t="s">
        <v>58</v>
      </c>
      <c r="G23" s="28">
        <f>(Part!$D$3/Yield!F7)/10000</f>
        <v>0.4244210526</v>
      </c>
      <c r="H23" s="43">
        <f t="shared" si="3"/>
        <v>1.048767371</v>
      </c>
    </row>
    <row r="24">
      <c r="B24" s="24" t="s">
        <v>58</v>
      </c>
      <c r="C24" s="28">
        <f>abs($C$11)/Yield!$F7/10000</f>
        <v>1.133603239</v>
      </c>
      <c r="D24" s="43">
        <f t="shared" si="4"/>
        <v>2.8011949</v>
      </c>
      <c r="F24" s="24" t="s">
        <v>59</v>
      </c>
      <c r="G24" s="28">
        <f>(Part!$D$3/Yield!F8)/10000</f>
        <v>0.5807867036</v>
      </c>
      <c r="H24" s="43">
        <f t="shared" si="3"/>
        <v>1.435155349</v>
      </c>
    </row>
    <row r="25">
      <c r="B25" s="24" t="s">
        <v>59</v>
      </c>
      <c r="C25" s="28">
        <f>abs($C$11)/Yield!$F8/10000</f>
        <v>1.551246537</v>
      </c>
      <c r="D25" s="43">
        <f t="shared" si="4"/>
        <v>3.833214074</v>
      </c>
      <c r="F25" s="24" t="s">
        <v>60</v>
      </c>
      <c r="G25" s="28">
        <f>(Part!$D$3/Yield!F9)/10000</f>
        <v>0.5707731397</v>
      </c>
      <c r="H25" s="43">
        <f t="shared" si="3"/>
        <v>1.410411291</v>
      </c>
    </row>
    <row r="26">
      <c r="B26" s="24" t="s">
        <v>60</v>
      </c>
      <c r="C26" s="28">
        <f>abs($C$11)/Yield!$F9/10000</f>
        <v>1.524500907</v>
      </c>
      <c r="D26" s="43">
        <f t="shared" si="4"/>
        <v>3.767124176</v>
      </c>
      <c r="F26" s="31" t="s">
        <v>61</v>
      </c>
      <c r="G26" s="32">
        <f>(Part!$D$3/Yield!F10)/10000</f>
        <v>0.7356631579</v>
      </c>
      <c r="H26" s="50">
        <f t="shared" si="3"/>
        <v>1.817863442</v>
      </c>
    </row>
    <row r="27">
      <c r="B27" s="31" t="s">
        <v>61</v>
      </c>
      <c r="C27" s="32">
        <f>abs($C$11)/Yield!$F10/10000</f>
        <v>1.964912281</v>
      </c>
      <c r="D27" s="50">
        <f t="shared" si="4"/>
        <v>4.855404494</v>
      </c>
      <c r="F27" s="49" t="s">
        <v>62</v>
      </c>
    </row>
    <row r="28">
      <c r="B28" s="49" t="s">
        <v>63</v>
      </c>
      <c r="F28" s="49" t="s">
        <v>64</v>
      </c>
      <c r="G28" s="49"/>
      <c r="H28" s="49"/>
    </row>
    <row r="29">
      <c r="B29" s="49" t="s">
        <v>65</v>
      </c>
      <c r="C29" s="49"/>
      <c r="D29" s="49"/>
      <c r="G29" s="49"/>
      <c r="H29" s="49"/>
    </row>
    <row r="30">
      <c r="B30" s="49" t="s">
        <v>66</v>
      </c>
      <c r="C30" s="49"/>
      <c r="D30" s="49"/>
    </row>
    <row r="31">
      <c r="F31" s="37" t="s">
        <v>67</v>
      </c>
    </row>
    <row r="32">
      <c r="F32" s="37" t="s">
        <v>68</v>
      </c>
    </row>
    <row r="33">
      <c r="F33" s="37" t="s">
        <v>69</v>
      </c>
    </row>
    <row r="34">
      <c r="E34" s="40"/>
      <c r="F34" s="37" t="s">
        <v>70</v>
      </c>
    </row>
    <row r="35">
      <c r="F35" s="37" t="s">
        <v>71</v>
      </c>
    </row>
    <row r="36">
      <c r="E36" s="40"/>
      <c r="F36" s="37" t="s">
        <v>72</v>
      </c>
    </row>
    <row r="37">
      <c r="E37" s="28"/>
      <c r="F37" s="37" t="s">
        <v>73</v>
      </c>
    </row>
    <row r="38">
      <c r="E38" s="28"/>
    </row>
    <row r="39">
      <c r="E39" s="28"/>
      <c r="F39" s="37" t="s">
        <v>74</v>
      </c>
    </row>
    <row r="40">
      <c r="E40" s="28"/>
      <c r="F40" s="51" t="s">
        <v>75</v>
      </c>
    </row>
    <row r="41">
      <c r="E41" s="28"/>
      <c r="F41" s="28"/>
    </row>
    <row r="42">
      <c r="E42" s="28"/>
      <c r="F42" s="28"/>
    </row>
    <row r="43">
      <c r="E43" s="28"/>
      <c r="F43" s="28"/>
    </row>
    <row r="44">
      <c r="E44" s="28"/>
      <c r="F44" s="28"/>
    </row>
    <row r="45">
      <c r="E45" s="28"/>
      <c r="F45" s="28"/>
    </row>
    <row r="46">
      <c r="E46" s="28"/>
      <c r="F46" s="28"/>
    </row>
  </sheetData>
  <mergeCells count="5">
    <mergeCell ref="F5:I5"/>
    <mergeCell ref="B8:D8"/>
    <mergeCell ref="J14:K14"/>
    <mergeCell ref="F15:H15"/>
    <mergeCell ref="B16:D16"/>
  </mergeCells>
  <dataValidations>
    <dataValidation type="decimal" allowBlank="1" showDropDown="1" sqref="D6">
      <formula1>0.0</formula1>
      <formula2>1.0</formula2>
    </dataValidation>
    <dataValidation type="list" allowBlank="1" showErrorMessage="1" sqref="G3">
      <formula1>"Grass,Hay,Silage,TMR"</formula1>
    </dataValidation>
    <dataValidation type="list" allowBlank="1" showErrorMessage="1" sqref="F3">
      <formula1>"Brown-Swiss,Holstein,Water Buffalo,Angus,Limousin"</formula1>
    </dataValidation>
    <dataValidation type="list" allowBlank="1" showErrorMessage="1" sqref="I3">
      <formula1>"Average,Max Seasonal"</formula1>
    </dataValidation>
    <dataValidation type="decimal" allowBlank="1" showDropDown="1" showErrorMessage="1" sqref="F7:I7">
      <formula1>0.0</formula1>
      <formula2>1.0</formula2>
    </dataValidation>
    <dataValidation type="list" allowBlank="1" showErrorMessage="1" sqref="H3">
      <formula1>"Easy,Normal,Hard"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88"/>
    <col customWidth="1" min="2" max="2" width="18.13"/>
    <col customWidth="1" min="3" max="3" width="17.38"/>
    <col customWidth="1" min="4" max="4" width="18.38"/>
    <col customWidth="1" min="5" max="5" width="17.38"/>
    <col customWidth="1" min="7" max="7" width="14.63"/>
  </cols>
  <sheetData>
    <row r="2">
      <c r="B2" s="52" t="s">
        <v>76</v>
      </c>
      <c r="E2" s="52" t="s">
        <v>77</v>
      </c>
    </row>
    <row r="3">
      <c r="B3" s="53">
        <v>12.0</v>
      </c>
      <c r="E3" s="53">
        <v>12.0</v>
      </c>
    </row>
    <row r="5">
      <c r="B5" s="1" t="s">
        <v>23</v>
      </c>
      <c r="C5" s="2" t="s">
        <v>24</v>
      </c>
      <c r="E5" s="1" t="s">
        <v>23</v>
      </c>
      <c r="F5" s="2" t="s">
        <v>24</v>
      </c>
    </row>
    <row r="6">
      <c r="B6" s="54">
        <f t="shared" ref="B6:B8" si="1">$C6*12</f>
        <v>30814.30588</v>
      </c>
      <c r="C6" s="55">
        <f>$C$7*Var!$B$33</f>
        <v>2567.858824</v>
      </c>
      <c r="D6" s="37" t="s">
        <v>78</v>
      </c>
      <c r="E6" s="54">
        <f t="shared" ref="E6:E8" si="2">$F6*12</f>
        <v>32892.48</v>
      </c>
      <c r="F6" s="55">
        <f>$F$7*Var!$B$39</f>
        <v>2741.04</v>
      </c>
      <c r="G6" s="37" t="s">
        <v>79</v>
      </c>
    </row>
    <row r="7">
      <c r="B7" s="56">
        <f t="shared" si="1"/>
        <v>8470.588235</v>
      </c>
      <c r="C7" s="43">
        <f>$B$3*Var!$B$35</f>
        <v>705.8823529</v>
      </c>
      <c r="D7" s="37" t="s">
        <v>80</v>
      </c>
      <c r="E7" s="56">
        <f t="shared" si="2"/>
        <v>3600</v>
      </c>
      <c r="F7" s="43">
        <f>$E$3*25</f>
        <v>300</v>
      </c>
      <c r="G7" s="37" t="s">
        <v>81</v>
      </c>
    </row>
    <row r="8">
      <c r="B8" s="57">
        <f t="shared" si="1"/>
        <v>6992.470588</v>
      </c>
      <c r="C8" s="36">
        <f>$B$3*Var!$B$34</f>
        <v>582.7058824</v>
      </c>
      <c r="D8" s="37" t="s">
        <v>82</v>
      </c>
      <c r="E8" s="57">
        <f t="shared" si="2"/>
        <v>7200</v>
      </c>
      <c r="F8" s="36">
        <f>$E$3*50</f>
        <v>600</v>
      </c>
      <c r="G8" s="37" t="s">
        <v>82</v>
      </c>
    </row>
    <row r="10">
      <c r="B10" s="58" t="s">
        <v>83</v>
      </c>
      <c r="C10" s="59"/>
      <c r="E10" s="58" t="s">
        <v>83</v>
      </c>
      <c r="F10" s="59"/>
    </row>
    <row r="11">
      <c r="B11" s="16" t="s">
        <v>41</v>
      </c>
      <c r="C11" s="18" t="s">
        <v>42</v>
      </c>
      <c r="E11" s="16" t="s">
        <v>41</v>
      </c>
      <c r="F11" s="18" t="s">
        <v>42</v>
      </c>
    </row>
    <row r="12">
      <c r="B12" s="60">
        <f>$B$8/(4.37*$C$15*Var!$B$36*10000)</f>
        <v>0.05614412934</v>
      </c>
      <c r="C12" s="61">
        <f>B12/0.4046856</f>
        <v>0.1387351794</v>
      </c>
      <c r="E12" s="60">
        <f>$E$8/(4.37*$C$15*Var!$B$36*10000)</f>
        <v>0.05781042997</v>
      </c>
      <c r="F12" s="61">
        <f>E12/0.4046856</f>
        <v>0.1428526984</v>
      </c>
    </row>
    <row r="14">
      <c r="B14" s="1" t="s">
        <v>13</v>
      </c>
      <c r="C14" s="27" t="s">
        <v>6</v>
      </c>
      <c r="D14" s="27" t="s">
        <v>84</v>
      </c>
      <c r="E14" s="2" t="s">
        <v>5</v>
      </c>
    </row>
    <row r="15">
      <c r="B15" s="20">
        <v>0.425</v>
      </c>
      <c r="C15" s="7">
        <v>2.0</v>
      </c>
      <c r="D15" s="7" t="s">
        <v>9</v>
      </c>
      <c r="E15" s="9" t="s">
        <v>10</v>
      </c>
    </row>
    <row r="17">
      <c r="B17" s="37" t="s">
        <v>67</v>
      </c>
    </row>
    <row r="18">
      <c r="B18" s="37" t="s">
        <v>85</v>
      </c>
    </row>
    <row r="19">
      <c r="B19" s="37" t="s">
        <v>68</v>
      </c>
    </row>
    <row r="20">
      <c r="B20" s="37" t="s">
        <v>69</v>
      </c>
    </row>
    <row r="21">
      <c r="B21" s="37" t="s">
        <v>70</v>
      </c>
    </row>
    <row r="22">
      <c r="B22" s="37" t="s">
        <v>86</v>
      </c>
    </row>
    <row r="23">
      <c r="B23" s="37" t="s">
        <v>87</v>
      </c>
    </row>
    <row r="24">
      <c r="B24" s="37" t="s">
        <v>71</v>
      </c>
    </row>
    <row r="25">
      <c r="B25" s="37" t="s">
        <v>72</v>
      </c>
    </row>
    <row r="26">
      <c r="B26" s="37" t="s">
        <v>73</v>
      </c>
    </row>
  </sheetData>
  <mergeCells count="2">
    <mergeCell ref="B10:C10"/>
    <mergeCell ref="E10:F10"/>
  </mergeCells>
  <dataValidations>
    <dataValidation type="decimal" allowBlank="1" showDropDown="1" sqref="B15">
      <formula1>0.0</formula1>
      <formula2>1.0</formula2>
    </dataValidation>
    <dataValidation type="list" allowBlank="1" showErrorMessage="1" sqref="E15">
      <formula1>"Baseline,Max Seasonal"</formula1>
    </dataValidation>
    <dataValidation type="decimal" allowBlank="1" showDropDown="1" sqref="B3 E3">
      <formula1>1.0</formula1>
      <formula2>1000000.0</formula2>
    </dataValidation>
    <dataValidation type="list" allowBlank="1" showErrorMessage="1" sqref="D15">
      <formula1>"Easy,Normal,Hard"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63"/>
    <col customWidth="1" min="2" max="2" width="12.25"/>
    <col customWidth="1" min="3" max="3" width="18.0"/>
    <col customWidth="1" min="4" max="4" width="6.38"/>
    <col customWidth="1" min="5" max="5" width="14.38"/>
    <col customWidth="1" min="6" max="6" width="13.25"/>
    <col customWidth="1" min="7" max="7" width="14.25"/>
    <col customWidth="1" min="8" max="8" width="15.38"/>
  </cols>
  <sheetData>
    <row r="1">
      <c r="B1" s="62"/>
    </row>
    <row r="2">
      <c r="C2" s="52" t="s">
        <v>88</v>
      </c>
      <c r="E2" s="63" t="s">
        <v>23</v>
      </c>
      <c r="F2" s="64" t="s">
        <v>24</v>
      </c>
    </row>
    <row r="3">
      <c r="C3" s="53">
        <v>96.0</v>
      </c>
      <c r="E3" s="65">
        <f>F3*12</f>
        <v>24192</v>
      </c>
      <c r="F3" s="66">
        <f>$F$4*Var!$B$26*Var!$B$27</f>
        <v>2016</v>
      </c>
      <c r="G3" s="37" t="s">
        <v>89</v>
      </c>
    </row>
    <row r="4">
      <c r="E4" s="67">
        <f>$F4*12</f>
        <v>5760</v>
      </c>
      <c r="F4" s="68">
        <f>$C$3*5</f>
        <v>480</v>
      </c>
      <c r="G4" s="37" t="s">
        <v>90</v>
      </c>
    </row>
    <row r="5">
      <c r="B5" s="69" t="s">
        <v>84</v>
      </c>
      <c r="C5" s="70" t="s">
        <v>9</v>
      </c>
      <c r="E5" s="67">
        <f>Var!$B$23</f>
        <v>5760</v>
      </c>
      <c r="F5" s="71">
        <f>Var!$B$22</f>
        <v>480</v>
      </c>
      <c r="G5" s="37" t="s">
        <v>91</v>
      </c>
    </row>
    <row r="6">
      <c r="B6" s="72" t="s">
        <v>5</v>
      </c>
      <c r="C6" s="9" t="s">
        <v>10</v>
      </c>
      <c r="E6" s="73">
        <f>$F6*12</f>
        <v>5760</v>
      </c>
      <c r="F6" s="74">
        <f>product(Var!$B$22,sum(1,product(C17,-1)))</f>
        <v>480</v>
      </c>
      <c r="G6" s="37" t="s">
        <v>92</v>
      </c>
    </row>
    <row r="7">
      <c r="E7" s="49" t="s">
        <v>93</v>
      </c>
    </row>
    <row r="9">
      <c r="E9" s="75" t="s">
        <v>83</v>
      </c>
      <c r="F9" s="13"/>
    </row>
    <row r="10">
      <c r="B10" s="76" t="s">
        <v>13</v>
      </c>
      <c r="C10" s="77">
        <v>0.425</v>
      </c>
      <c r="E10" s="1" t="s">
        <v>41</v>
      </c>
      <c r="F10" s="2" t="s">
        <v>42</v>
      </c>
    </row>
    <row r="11">
      <c r="E11" s="78">
        <f>(($E$6/0.96)/Var!$B$28)/10000</f>
        <v>0.4210526316</v>
      </c>
      <c r="F11" s="79">
        <f t="shared" ref="F11:F13" si="1">$E11/0.4046856</f>
        <v>1.04044382</v>
      </c>
      <c r="G11" s="37" t="s">
        <v>94</v>
      </c>
    </row>
    <row r="12">
      <c r="E12" s="78">
        <f>(($E$6/0.89)/Var!$B$28)/10000</f>
        <v>0.4541691307</v>
      </c>
      <c r="F12" s="79">
        <f t="shared" si="1"/>
        <v>1.12227648</v>
      </c>
      <c r="G12" s="37" t="s">
        <v>95</v>
      </c>
    </row>
    <row r="13">
      <c r="E13" s="80">
        <f>(($E$6/0.82)/Var!$B$28)/10000</f>
        <v>0.4929396662</v>
      </c>
      <c r="F13" s="81">
        <f t="shared" si="1"/>
        <v>1.21808057</v>
      </c>
      <c r="G13" s="37" t="s">
        <v>96</v>
      </c>
    </row>
    <row r="14">
      <c r="E14" s="49" t="s">
        <v>97</v>
      </c>
    </row>
    <row r="15">
      <c r="H15" s="37" t="s">
        <v>95</v>
      </c>
    </row>
    <row r="16">
      <c r="E16" s="75" t="s">
        <v>98</v>
      </c>
      <c r="F16" s="12"/>
      <c r="G16" s="13"/>
      <c r="H16" s="37" t="s">
        <v>99</v>
      </c>
    </row>
    <row r="17">
      <c r="B17" s="76" t="s">
        <v>100</v>
      </c>
      <c r="C17" s="77">
        <v>0.0</v>
      </c>
      <c r="E17" s="16" t="s">
        <v>101</v>
      </c>
      <c r="F17" s="17" t="s">
        <v>102</v>
      </c>
      <c r="G17" s="18" t="s">
        <v>103</v>
      </c>
    </row>
    <row r="18">
      <c r="E18" s="82">
        <f>F18*-1.5</f>
        <v>0</v>
      </c>
      <c r="F18" s="83">
        <f>Var!$B$23*$C$17</f>
        <v>0</v>
      </c>
      <c r="G18" s="84">
        <f>E3+E18</f>
        <v>24192</v>
      </c>
    </row>
    <row r="19">
      <c r="E19" s="85">
        <f>F19*-1.4</f>
        <v>0</v>
      </c>
      <c r="F19" s="33">
        <f>Var!$B$23*$C$17</f>
        <v>0</v>
      </c>
      <c r="G19" s="86">
        <f>E3+E19</f>
        <v>24192</v>
      </c>
    </row>
    <row r="20">
      <c r="E20" s="49" t="s">
        <v>104</v>
      </c>
    </row>
    <row r="21">
      <c r="E21" s="49" t="s">
        <v>105</v>
      </c>
    </row>
    <row r="22">
      <c r="E22" s="49" t="s">
        <v>106</v>
      </c>
    </row>
    <row r="23">
      <c r="E23" s="49"/>
    </row>
    <row r="24">
      <c r="E24" s="37" t="s">
        <v>67</v>
      </c>
    </row>
    <row r="25">
      <c r="E25" s="37" t="s">
        <v>107</v>
      </c>
    </row>
    <row r="26">
      <c r="E26" s="37" t="s">
        <v>72</v>
      </c>
    </row>
    <row r="27">
      <c r="E27" s="37" t="s">
        <v>73</v>
      </c>
    </row>
  </sheetData>
  <mergeCells count="2">
    <mergeCell ref="E9:F9"/>
    <mergeCell ref="E16:G16"/>
  </mergeCells>
  <dataValidations>
    <dataValidation type="list" allowBlank="1" showErrorMessage="1" sqref="C6">
      <formula1>"Baseline,Max Seasonal"</formula1>
    </dataValidation>
    <dataValidation type="list" allowBlank="1" showErrorMessage="1" sqref="C5">
      <formula1>"Easy,Normal,Hard"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5"/>
    <col customWidth="1" min="6" max="6" width="11.13"/>
    <col customWidth="1" min="7" max="7" width="11.0"/>
    <col customWidth="1" min="8" max="8" width="7.0"/>
    <col customWidth="1" min="9" max="9" width="11.5"/>
  </cols>
  <sheetData>
    <row r="2">
      <c r="B2" s="37" t="s">
        <v>108</v>
      </c>
    </row>
    <row r="3">
      <c r="B3" s="37" t="s">
        <v>109</v>
      </c>
    </row>
    <row r="4">
      <c r="B4" s="37" t="s">
        <v>110</v>
      </c>
    </row>
    <row r="6">
      <c r="A6" s="40"/>
    </row>
    <row r="7">
      <c r="B7" s="87" t="s">
        <v>111</v>
      </c>
      <c r="C7" s="87" t="s">
        <v>111</v>
      </c>
      <c r="E7" s="88" t="s">
        <v>112</v>
      </c>
      <c r="F7" s="89"/>
      <c r="G7" s="59"/>
      <c r="I7" s="90" t="s">
        <v>113</v>
      </c>
      <c r="J7" s="13"/>
    </row>
    <row r="8">
      <c r="A8" s="91"/>
      <c r="B8" s="1" t="s">
        <v>114</v>
      </c>
      <c r="C8" s="2" t="s">
        <v>13</v>
      </c>
      <c r="D8" s="40"/>
      <c r="E8" s="16" t="s">
        <v>33</v>
      </c>
      <c r="F8" s="17" t="s">
        <v>18</v>
      </c>
      <c r="G8" s="18" t="s">
        <v>34</v>
      </c>
      <c r="I8" s="38">
        <v>2500.0</v>
      </c>
      <c r="J8" s="39" t="s">
        <v>38</v>
      </c>
    </row>
    <row r="9">
      <c r="A9" s="91"/>
      <c r="B9" s="6">
        <v>32.0</v>
      </c>
      <c r="C9" s="15">
        <v>0.425</v>
      </c>
      <c r="E9" s="92">
        <f>65*B9*12</f>
        <v>24960</v>
      </c>
      <c r="F9" s="93">
        <f>-20*B9*12</f>
        <v>-7680</v>
      </c>
      <c r="G9" s="94">
        <f>35*B9*12</f>
        <v>13440</v>
      </c>
      <c r="I9" s="41">
        <v>16.0</v>
      </c>
      <c r="J9" s="42" t="s">
        <v>43</v>
      </c>
    </row>
    <row r="10">
      <c r="A10" s="91"/>
      <c r="I10" s="44">
        <f>$I$8*$I$9</f>
        <v>40000</v>
      </c>
      <c r="J10" s="45" t="s">
        <v>45</v>
      </c>
    </row>
    <row r="11">
      <c r="B11" s="14"/>
      <c r="C11" s="14" t="s">
        <v>115</v>
      </c>
      <c r="I11" s="49" t="s">
        <v>116</v>
      </c>
    </row>
    <row r="12">
      <c r="A12" s="91"/>
      <c r="B12" s="40"/>
      <c r="C12" s="95" t="s">
        <v>117</v>
      </c>
      <c r="D12" s="59"/>
      <c r="E12" s="58" t="s">
        <v>83</v>
      </c>
      <c r="F12" s="89"/>
      <c r="G12" s="59"/>
      <c r="I12" s="49" t="s">
        <v>118</v>
      </c>
    </row>
    <row r="13">
      <c r="A13" s="91"/>
      <c r="B13" s="96" t="s">
        <v>119</v>
      </c>
      <c r="C13" s="63" t="s">
        <v>102</v>
      </c>
      <c r="D13" s="64" t="s">
        <v>120</v>
      </c>
      <c r="E13" s="63" t="s">
        <v>41</v>
      </c>
      <c r="F13" s="64" t="s">
        <v>42</v>
      </c>
      <c r="G13" s="64" t="s">
        <v>121</v>
      </c>
      <c r="I13" s="49" t="s">
        <v>55</v>
      </c>
    </row>
    <row r="14">
      <c r="A14" s="91"/>
      <c r="B14" s="97" t="s">
        <v>122</v>
      </c>
      <c r="C14" s="98">
        <v>1.0</v>
      </c>
      <c r="D14" s="99" t="s">
        <v>123</v>
      </c>
      <c r="E14" s="100">
        <f>($G14/(Var!$B$42*Yield!$B$3))/10000</f>
        <v>0.8787185355</v>
      </c>
      <c r="F14" s="101">
        <f t="shared" ref="F14:F15" si="1">E14/0.4046856</f>
        <v>2.171361016</v>
      </c>
      <c r="G14" s="102">
        <f t="shared" ref="G14:G15" si="2">$B$9*C14*30*12</f>
        <v>11520</v>
      </c>
      <c r="I14" s="49" t="s">
        <v>57</v>
      </c>
    </row>
    <row r="15">
      <c r="B15" s="103"/>
      <c r="C15" s="98">
        <v>1.0</v>
      </c>
      <c r="D15" s="99" t="s">
        <v>96</v>
      </c>
      <c r="E15" s="100">
        <f>($G15/(Var!$B$42*Yield!$B$6))/10000</f>
        <v>0.9858793325</v>
      </c>
      <c r="F15" s="101">
        <f t="shared" si="1"/>
        <v>2.43616114</v>
      </c>
      <c r="G15" s="102">
        <f t="shared" si="2"/>
        <v>11520</v>
      </c>
      <c r="I15" s="49"/>
    </row>
    <row r="16">
      <c r="A16" s="91"/>
      <c r="B16" s="104"/>
      <c r="C16" s="105"/>
      <c r="D16" s="106"/>
      <c r="E16" s="100"/>
      <c r="F16" s="101"/>
      <c r="G16" s="102"/>
    </row>
    <row r="17">
      <c r="A17" s="91"/>
      <c r="B17" s="97" t="s">
        <v>124</v>
      </c>
      <c r="C17" s="98">
        <v>1.0</v>
      </c>
      <c r="D17" s="99" t="s">
        <v>95</v>
      </c>
      <c r="E17" s="100">
        <f>($G17/(Var!$B$42*Yield!$B$5))/10000</f>
        <v>0.4541691307</v>
      </c>
      <c r="F17" s="101">
        <f t="shared" ref="F17:F18" si="3">E17/0.4046856</f>
        <v>1.12227648</v>
      </c>
      <c r="G17" s="102">
        <f t="shared" ref="G17:G18" si="4">$B$9*C17*15*12</f>
        <v>5760</v>
      </c>
    </row>
    <row r="18">
      <c r="A18" s="91"/>
      <c r="B18" s="103"/>
      <c r="C18" s="98">
        <v>1.0</v>
      </c>
      <c r="D18" s="99" t="s">
        <v>94</v>
      </c>
      <c r="E18" s="100">
        <f>($G18/(Var!$B$42*Yield!$B$4))/10000</f>
        <v>0.4210526316</v>
      </c>
      <c r="F18" s="101">
        <f t="shared" si="3"/>
        <v>1.04044382</v>
      </c>
      <c r="G18" s="102">
        <f t="shared" si="4"/>
        <v>5760</v>
      </c>
    </row>
    <row r="19">
      <c r="A19" s="91"/>
      <c r="B19" s="104"/>
      <c r="C19" s="105"/>
      <c r="D19" s="106"/>
      <c r="E19" s="100"/>
      <c r="F19" s="101"/>
      <c r="G19" s="102"/>
    </row>
    <row r="20">
      <c r="A20" s="91"/>
      <c r="B20" s="97" t="s">
        <v>125</v>
      </c>
      <c r="C20" s="98">
        <v>1.0</v>
      </c>
      <c r="D20" s="99" t="s">
        <v>126</v>
      </c>
      <c r="E20" s="100">
        <f>($G20/(Var!$B$42*Yield!$B$10))/10000</f>
        <v>0.7185964912</v>
      </c>
      <c r="F20" s="101">
        <f t="shared" ref="F20:F22" si="5">E20/0.4046856</f>
        <v>1.775690786</v>
      </c>
      <c r="G20" s="102">
        <f t="shared" ref="G20:G22" si="6">$B$9*C20*12*12</f>
        <v>4608</v>
      </c>
    </row>
    <row r="21">
      <c r="A21" s="91"/>
      <c r="B21" s="107"/>
      <c r="C21" s="98">
        <v>1.0</v>
      </c>
      <c r="D21" s="99" t="s">
        <v>127</v>
      </c>
      <c r="E21" s="100">
        <f>($G21/(Var!$B$42*Yield!$B$9))/10000</f>
        <v>0.5575317604</v>
      </c>
      <c r="F21" s="101">
        <f t="shared" si="5"/>
        <v>1.377691127</v>
      </c>
      <c r="G21" s="102">
        <f t="shared" si="6"/>
        <v>4608</v>
      </c>
    </row>
    <row r="22">
      <c r="A22" s="91"/>
      <c r="B22" s="107"/>
      <c r="C22" s="98">
        <v>1.0</v>
      </c>
      <c r="D22" s="99" t="s">
        <v>128</v>
      </c>
      <c r="E22" s="100">
        <f>($G22/(Var!$B$42*Yield!$B$7))/10000</f>
        <v>0.6218623482</v>
      </c>
      <c r="F22" s="101">
        <f t="shared" si="5"/>
        <v>1.536655488</v>
      </c>
      <c r="G22" s="102">
        <f t="shared" si="6"/>
        <v>4608</v>
      </c>
    </row>
    <row r="23">
      <c r="B23" s="104"/>
      <c r="C23" s="105"/>
      <c r="D23" s="106"/>
      <c r="E23" s="100"/>
      <c r="F23" s="101"/>
      <c r="G23" s="102"/>
    </row>
    <row r="24">
      <c r="B24" s="108" t="s">
        <v>129</v>
      </c>
      <c r="C24" s="98">
        <v>1.0</v>
      </c>
      <c r="D24" s="99" t="s">
        <v>130</v>
      </c>
      <c r="E24" s="100">
        <f>($G24/(Var!$B$42*Yield!$B11))/10000</f>
        <v>0.01957435963</v>
      </c>
      <c r="F24" s="101">
        <f t="shared" ref="F24:F28" si="7">E24/0.4046856</f>
        <v>0.04836930108</v>
      </c>
      <c r="G24" s="102">
        <f t="shared" ref="G24:G28" si="8">$B$9*C24*3*12</f>
        <v>1152</v>
      </c>
    </row>
    <row r="25">
      <c r="B25" s="109"/>
      <c r="C25" s="98">
        <v>1.0</v>
      </c>
      <c r="D25" s="99" t="s">
        <v>131</v>
      </c>
      <c r="E25" s="100">
        <f>($G25/(Var!$B$42*Yield!$B12))/10000</f>
        <v>0.0139865234</v>
      </c>
      <c r="F25" s="101">
        <f t="shared" si="7"/>
        <v>0.03456145561</v>
      </c>
      <c r="G25" s="102">
        <f t="shared" si="8"/>
        <v>1152</v>
      </c>
    </row>
    <row r="26">
      <c r="B26" s="109"/>
      <c r="C26" s="98">
        <v>1.0</v>
      </c>
      <c r="D26" s="99" t="s">
        <v>132</v>
      </c>
      <c r="E26" s="100">
        <f>($G26/(Var!$B$42*Yield!$B13))/10000</f>
        <v>0.0139865234</v>
      </c>
      <c r="F26" s="101">
        <f t="shared" si="7"/>
        <v>0.03456145561</v>
      </c>
      <c r="G26" s="102">
        <f t="shared" si="8"/>
        <v>1152</v>
      </c>
    </row>
    <row r="27">
      <c r="B27" s="109"/>
      <c r="C27" s="98">
        <v>1.0</v>
      </c>
      <c r="D27" s="99" t="s">
        <v>133</v>
      </c>
      <c r="E27" s="100">
        <f>($G27/(Var!$B$42*Yield!$B14))/10000</f>
        <v>0.01163195759</v>
      </c>
      <c r="F27" s="101">
        <f t="shared" si="7"/>
        <v>0.02874319618</v>
      </c>
      <c r="G27" s="102">
        <f t="shared" si="8"/>
        <v>1152</v>
      </c>
    </row>
    <row r="28">
      <c r="B28" s="109"/>
      <c r="C28" s="110">
        <v>1.0</v>
      </c>
      <c r="D28" s="111" t="s">
        <v>134</v>
      </c>
      <c r="E28" s="60">
        <f>($G28/(Var!$B$42*Yield!$B15))/10000</f>
        <v>0.01049897471</v>
      </c>
      <c r="F28" s="61">
        <f t="shared" si="7"/>
        <v>0.02594353421</v>
      </c>
      <c r="G28" s="112">
        <f t="shared" si="8"/>
        <v>1152</v>
      </c>
    </row>
    <row r="29">
      <c r="B29" s="40"/>
      <c r="G29" s="62"/>
    </row>
    <row r="31">
      <c r="B31" s="37" t="s">
        <v>67</v>
      </c>
    </row>
    <row r="32">
      <c r="B32" s="37" t="s">
        <v>135</v>
      </c>
    </row>
    <row r="33">
      <c r="B33" s="37" t="s">
        <v>136</v>
      </c>
    </row>
    <row r="34">
      <c r="B34" s="37" t="s">
        <v>137</v>
      </c>
    </row>
    <row r="35">
      <c r="B35" s="37" t="s">
        <v>138</v>
      </c>
    </row>
    <row r="36">
      <c r="B36" s="37" t="s">
        <v>139</v>
      </c>
    </row>
    <row r="37">
      <c r="B37" s="37" t="s">
        <v>140</v>
      </c>
    </row>
    <row r="38">
      <c r="B38" s="37" t="s">
        <v>141</v>
      </c>
    </row>
    <row r="39">
      <c r="B39" s="37" t="s">
        <v>142</v>
      </c>
    </row>
    <row r="40">
      <c r="B40" s="37" t="s">
        <v>143</v>
      </c>
    </row>
    <row r="41">
      <c r="B41" s="37" t="s">
        <v>73</v>
      </c>
    </row>
  </sheetData>
  <mergeCells count="4">
    <mergeCell ref="E7:G7"/>
    <mergeCell ref="I7:J7"/>
    <mergeCell ref="C12:D12"/>
    <mergeCell ref="E12:G1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0"/>
    <col customWidth="1" min="2" max="2" width="12.38"/>
    <col customWidth="1" min="4" max="4" width="13.63"/>
    <col customWidth="1" min="5" max="5" width="11.13"/>
    <col customWidth="1" min="6" max="6" width="10.63"/>
    <col customWidth="1" min="7" max="7" width="8.38"/>
  </cols>
  <sheetData>
    <row r="2">
      <c r="F2" s="90" t="s">
        <v>112</v>
      </c>
      <c r="G2" s="13"/>
      <c r="I2" s="90" t="s">
        <v>144</v>
      </c>
      <c r="J2" s="13"/>
    </row>
    <row r="3">
      <c r="B3" s="113" t="s">
        <v>145</v>
      </c>
      <c r="C3" s="27" t="s">
        <v>13</v>
      </c>
      <c r="D3" s="2" t="s">
        <v>6</v>
      </c>
      <c r="F3" s="1" t="s">
        <v>18</v>
      </c>
      <c r="G3" s="2" t="s">
        <v>34</v>
      </c>
      <c r="I3" s="38">
        <v>5000.0</v>
      </c>
      <c r="J3" s="39" t="s">
        <v>38</v>
      </c>
    </row>
    <row r="4">
      <c r="B4" s="6">
        <v>16.0</v>
      </c>
      <c r="C4" s="21">
        <v>0.425</v>
      </c>
      <c r="D4" s="9">
        <v>2.0</v>
      </c>
      <c r="F4" s="114">
        <f>-80*B4*12</f>
        <v>-15360</v>
      </c>
      <c r="G4" s="115">
        <f>200*B4*12</f>
        <v>38400</v>
      </c>
      <c r="I4" s="41">
        <v>2.0</v>
      </c>
      <c r="J4" s="42" t="s">
        <v>43</v>
      </c>
    </row>
    <row r="5">
      <c r="I5" s="44">
        <f>$I$3*$I$4</f>
        <v>10000</v>
      </c>
      <c r="J5" s="45" t="s">
        <v>146</v>
      </c>
    </row>
    <row r="6">
      <c r="E6" s="75" t="s">
        <v>83</v>
      </c>
      <c r="F6" s="12"/>
      <c r="G6" s="13"/>
      <c r="I6" s="49" t="s">
        <v>147</v>
      </c>
    </row>
    <row r="7">
      <c r="B7" s="63" t="s">
        <v>148</v>
      </c>
      <c r="C7" s="116" t="s">
        <v>40</v>
      </c>
      <c r="D7" s="116" t="s">
        <v>149</v>
      </c>
      <c r="E7" s="117" t="s">
        <v>41</v>
      </c>
      <c r="F7" s="118" t="s">
        <v>42</v>
      </c>
      <c r="G7" s="118" t="s">
        <v>121</v>
      </c>
      <c r="I7" s="49" t="s">
        <v>150</v>
      </c>
    </row>
    <row r="8">
      <c r="B8" s="119" t="s">
        <v>122</v>
      </c>
      <c r="C8" s="120" t="s">
        <v>99</v>
      </c>
      <c r="D8" s="121">
        <v>1.0</v>
      </c>
      <c r="E8" s="100">
        <f>($G8/(Yield!$B$8*Var!$B$53)/10000)*$D8</f>
        <v>2.251523546</v>
      </c>
      <c r="F8" s="101">
        <f t="shared" ref="F8:F9" si="1">E8/0.4046856</f>
        <v>5.563636427</v>
      </c>
      <c r="G8" s="102">
        <f>$B$4*Var!$B$50*12</f>
        <v>18288</v>
      </c>
      <c r="I8" s="49" t="s">
        <v>55</v>
      </c>
    </row>
    <row r="9">
      <c r="B9" s="122"/>
      <c r="C9" s="120" t="s">
        <v>96</v>
      </c>
      <c r="D9" s="121">
        <v>1.0</v>
      </c>
      <c r="E9" s="100">
        <f>($G9/(Yield!$B$6*Var!$B$53)/10000)*$D9</f>
        <v>1.56508344</v>
      </c>
      <c r="F9" s="101">
        <f t="shared" si="1"/>
        <v>3.867405809</v>
      </c>
      <c r="G9" s="102">
        <f>$B$4*Var!$B$50*12</f>
        <v>18288</v>
      </c>
      <c r="I9" s="49" t="s">
        <v>57</v>
      </c>
    </row>
    <row r="10">
      <c r="B10" s="123"/>
      <c r="D10" s="124"/>
      <c r="E10" s="67"/>
      <c r="F10" s="71"/>
      <c r="G10" s="71"/>
      <c r="I10" s="49"/>
    </row>
    <row r="11">
      <c r="B11" s="119" t="s">
        <v>16</v>
      </c>
      <c r="C11" s="120" t="s">
        <v>16</v>
      </c>
      <c r="D11" s="121">
        <v>1.0</v>
      </c>
      <c r="E11" s="100">
        <f>($G11/(Yield!$B$2*Var!$B$53*$D$4)/10000)*$D11</f>
        <v>0.4405154763</v>
      </c>
      <c r="F11" s="101">
        <f>E11/0.4046856</f>
        <v>1.088537562</v>
      </c>
      <c r="G11" s="102">
        <f>$B$4*Var!$B$51*12</f>
        <v>54864</v>
      </c>
    </row>
    <row r="12">
      <c r="B12" s="123"/>
      <c r="D12" s="124"/>
      <c r="E12" s="67"/>
      <c r="F12" s="71"/>
      <c r="G12" s="71"/>
    </row>
    <row r="13">
      <c r="B13" s="119" t="s">
        <v>129</v>
      </c>
      <c r="C13" s="120" t="s">
        <v>130</v>
      </c>
      <c r="D13" s="121">
        <v>1.0</v>
      </c>
      <c r="E13" s="100">
        <f>($G13/(Yield!$B11*Var!$B$53)/10000)*$D13</f>
        <v>0.06218937173</v>
      </c>
      <c r="F13" s="101">
        <f t="shared" ref="F13:F17" si="2">E13/0.4046856</f>
        <v>0.1536733003</v>
      </c>
      <c r="G13" s="102">
        <f>$B$4*Var!$B$52*12</f>
        <v>3660</v>
      </c>
    </row>
    <row r="14">
      <c r="B14" s="122"/>
      <c r="C14" s="120" t="s">
        <v>131</v>
      </c>
      <c r="D14" s="121">
        <v>1.0</v>
      </c>
      <c r="E14" s="100">
        <f>($G14/(Yield!$B12*Var!$B$53)/10000)*$D14</f>
        <v>0.04443635039</v>
      </c>
      <c r="F14" s="101">
        <f t="shared" si="2"/>
        <v>0.1098046246</v>
      </c>
      <c r="G14" s="102">
        <f>$B$4*Var!$B$52*12</f>
        <v>3660</v>
      </c>
    </row>
    <row r="15">
      <c r="B15" s="122"/>
      <c r="C15" s="120" t="s">
        <v>132</v>
      </c>
      <c r="D15" s="121">
        <v>1.0</v>
      </c>
      <c r="E15" s="100">
        <f>($G15/(Yield!$B13*Var!$B$53)/10000)*$D15</f>
        <v>0.04443635039</v>
      </c>
      <c r="F15" s="101">
        <f t="shared" si="2"/>
        <v>0.1098046246</v>
      </c>
      <c r="G15" s="102">
        <f>$B$4*Var!$B$52*12</f>
        <v>3660</v>
      </c>
    </row>
    <row r="16">
      <c r="B16" s="122"/>
      <c r="C16" s="120" t="s">
        <v>133</v>
      </c>
      <c r="D16" s="121">
        <v>1.0</v>
      </c>
      <c r="E16" s="100">
        <f>($G16/(Yield!$B14*Var!$B$53)/10000)*$D16</f>
        <v>0.0369556986</v>
      </c>
      <c r="F16" s="101">
        <f t="shared" si="2"/>
        <v>0.09131952953</v>
      </c>
      <c r="G16" s="102">
        <f>$B$4*Var!$B$52*12</f>
        <v>3660</v>
      </c>
    </row>
    <row r="17">
      <c r="B17" s="125"/>
      <c r="C17" s="126" t="s">
        <v>134</v>
      </c>
      <c r="D17" s="127">
        <v>1.0</v>
      </c>
      <c r="E17" s="60">
        <f>($G17/(Yield!$B15*Var!$B$53)/10000)*$D17</f>
        <v>0.03335611757</v>
      </c>
      <c r="F17" s="61">
        <f t="shared" si="2"/>
        <v>0.08242477016</v>
      </c>
      <c r="G17" s="112">
        <f>$B$4*Var!$B$52*12</f>
        <v>3660</v>
      </c>
    </row>
    <row r="18">
      <c r="C18" s="49" t="s">
        <v>151</v>
      </c>
    </row>
    <row r="19">
      <c r="C19" s="49" t="s">
        <v>152</v>
      </c>
    </row>
    <row r="20">
      <c r="B20" s="37" t="s">
        <v>67</v>
      </c>
    </row>
    <row r="21">
      <c r="B21" s="37" t="s">
        <v>68</v>
      </c>
    </row>
    <row r="22">
      <c r="B22" s="37" t="s">
        <v>69</v>
      </c>
    </row>
    <row r="23">
      <c r="B23" s="37" t="s">
        <v>153</v>
      </c>
    </row>
    <row r="24">
      <c r="B24" s="37" t="s">
        <v>154</v>
      </c>
    </row>
    <row r="25">
      <c r="B25" s="37" t="s">
        <v>155</v>
      </c>
    </row>
    <row r="26">
      <c r="B26" s="37" t="s">
        <v>156</v>
      </c>
    </row>
    <row r="27">
      <c r="B27" s="37" t="s">
        <v>157</v>
      </c>
    </row>
    <row r="28">
      <c r="B28" s="37" t="s">
        <v>158</v>
      </c>
    </row>
    <row r="29">
      <c r="B29" s="37" t="s">
        <v>159</v>
      </c>
    </row>
    <row r="30">
      <c r="B30" s="37" t="s">
        <v>160</v>
      </c>
    </row>
    <row r="31">
      <c r="B31" s="37" t="s">
        <v>161</v>
      </c>
    </row>
    <row r="32">
      <c r="B32" s="37" t="s">
        <v>162</v>
      </c>
    </row>
    <row r="33">
      <c r="B33" s="37" t="s">
        <v>73</v>
      </c>
    </row>
  </sheetData>
  <mergeCells count="3">
    <mergeCell ref="F2:G2"/>
    <mergeCell ref="I2:J2"/>
    <mergeCell ref="E6:G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13"/>
    <col customWidth="1" min="5" max="5" width="14.38"/>
    <col customWidth="1" min="6" max="6" width="19.88"/>
  </cols>
  <sheetData>
    <row r="1">
      <c r="A1" s="37" t="s">
        <v>163</v>
      </c>
      <c r="B1" s="37" t="s">
        <v>164</v>
      </c>
      <c r="C1" s="37" t="s">
        <v>165</v>
      </c>
      <c r="D1" s="37" t="s">
        <v>166</v>
      </c>
      <c r="E1" s="37" t="s">
        <v>167</v>
      </c>
      <c r="F1" s="37" t="s">
        <v>168</v>
      </c>
    </row>
    <row r="2">
      <c r="A2" s="37" t="s">
        <v>169</v>
      </c>
      <c r="B2" s="37">
        <v>4.37</v>
      </c>
      <c r="C2" s="37">
        <v>1.0</v>
      </c>
      <c r="D2" s="83">
        <f t="shared" ref="D2:D11" si="1">product(B2,C2)</f>
        <v>4.37</v>
      </c>
      <c r="E2" s="83">
        <f>product(B2,Var!$B$1)</f>
        <v>6.22725</v>
      </c>
      <c r="F2" s="83">
        <f>product(D2,Var!$B$1)</f>
        <v>6.22725</v>
      </c>
    </row>
    <row r="3">
      <c r="A3" s="37" t="s">
        <v>123</v>
      </c>
      <c r="B3" s="37">
        <v>0.92</v>
      </c>
      <c r="C3" s="37">
        <v>7.8</v>
      </c>
      <c r="D3" s="83">
        <f t="shared" si="1"/>
        <v>7.176</v>
      </c>
      <c r="E3" s="83">
        <f>product(B3,Var!$B$1)</f>
        <v>1.311</v>
      </c>
      <c r="F3" s="83">
        <f>product(D3,Var!$B$1)</f>
        <v>10.2258</v>
      </c>
    </row>
    <row r="4">
      <c r="A4" s="37" t="s">
        <v>94</v>
      </c>
      <c r="B4" s="37">
        <v>0.96</v>
      </c>
      <c r="C4" s="37">
        <v>4.0</v>
      </c>
      <c r="D4" s="83">
        <f t="shared" si="1"/>
        <v>3.84</v>
      </c>
      <c r="E4" s="83">
        <f>product(B4,Var!$B$1)</f>
        <v>1.368</v>
      </c>
      <c r="F4" s="83">
        <f>product(D4,Var!$B$1)</f>
        <v>5.472</v>
      </c>
    </row>
    <row r="5">
      <c r="A5" s="37" t="s">
        <v>95</v>
      </c>
      <c r="B5" s="37">
        <v>0.89</v>
      </c>
      <c r="C5" s="37">
        <v>4.0</v>
      </c>
      <c r="D5" s="83">
        <f t="shared" si="1"/>
        <v>3.56</v>
      </c>
      <c r="E5" s="83">
        <f>product(B5,Var!$B$1)</f>
        <v>1.26825</v>
      </c>
      <c r="F5" s="83">
        <f>product(D5,Var!$B$1)</f>
        <v>5.073</v>
      </c>
    </row>
    <row r="6">
      <c r="A6" s="37" t="s">
        <v>96</v>
      </c>
      <c r="B6" s="37">
        <v>0.82</v>
      </c>
      <c r="C6" s="37">
        <v>4.0</v>
      </c>
      <c r="D6" s="83">
        <f t="shared" si="1"/>
        <v>3.28</v>
      </c>
      <c r="E6" s="83">
        <f>product(B6,Var!$B$1)</f>
        <v>1.1685</v>
      </c>
      <c r="F6" s="83">
        <f>product(D6,Var!$B$1)</f>
        <v>4.674</v>
      </c>
    </row>
    <row r="7">
      <c r="A7" s="37" t="s">
        <v>128</v>
      </c>
      <c r="B7" s="37">
        <v>0.52</v>
      </c>
      <c r="C7" s="37">
        <v>6.0</v>
      </c>
      <c r="D7" s="83">
        <f t="shared" si="1"/>
        <v>3.12</v>
      </c>
      <c r="E7" s="83">
        <f>product(B7,Var!$B$1)</f>
        <v>0.741</v>
      </c>
      <c r="F7" s="83">
        <f>product(D7,Var!$B$1)</f>
        <v>4.446</v>
      </c>
    </row>
    <row r="8">
      <c r="A8" s="37" t="s">
        <v>99</v>
      </c>
      <c r="B8" s="37">
        <v>0.57</v>
      </c>
      <c r="C8" s="37">
        <v>4.0</v>
      </c>
      <c r="D8" s="83">
        <f t="shared" si="1"/>
        <v>2.28</v>
      </c>
      <c r="E8" s="83">
        <f>product(B8,Var!$B$1)</f>
        <v>0.81225</v>
      </c>
      <c r="F8" s="83">
        <f>product(D8,Var!$B$1)</f>
        <v>3.249</v>
      </c>
    </row>
    <row r="9">
      <c r="A9" s="37" t="s">
        <v>127</v>
      </c>
      <c r="B9" s="37">
        <v>0.58</v>
      </c>
      <c r="C9" s="37">
        <v>4.0</v>
      </c>
      <c r="D9" s="83">
        <f t="shared" si="1"/>
        <v>2.32</v>
      </c>
      <c r="E9" s="83">
        <f>product(B9,Var!$B$1)</f>
        <v>0.8265</v>
      </c>
      <c r="F9" s="83">
        <f>product(D9,Var!$B$1)</f>
        <v>3.306</v>
      </c>
    </row>
    <row r="10">
      <c r="A10" s="37" t="s">
        <v>170</v>
      </c>
      <c r="B10" s="37">
        <v>0.45</v>
      </c>
      <c r="C10" s="37">
        <v>4.0</v>
      </c>
      <c r="D10" s="83">
        <f t="shared" si="1"/>
        <v>1.8</v>
      </c>
      <c r="E10" s="83">
        <f>product(B10,Var!$B$1)</f>
        <v>0.64125</v>
      </c>
      <c r="F10" s="83">
        <f>product(D10,Var!$B$1)</f>
        <v>2.565</v>
      </c>
    </row>
    <row r="11">
      <c r="A11" s="37" t="s">
        <v>130</v>
      </c>
      <c r="B11" s="37">
        <v>4.13</v>
      </c>
      <c r="C11" s="37">
        <v>1.0</v>
      </c>
      <c r="D11" s="83">
        <f t="shared" si="1"/>
        <v>4.13</v>
      </c>
      <c r="E11" s="83">
        <f>product(B11,Var!$B$1)</f>
        <v>5.88525</v>
      </c>
      <c r="F11" s="83">
        <f>product(D11,Var!$B$1)</f>
        <v>5.88525</v>
      </c>
    </row>
    <row r="12">
      <c r="A12" s="37" t="s">
        <v>131</v>
      </c>
      <c r="B12" s="37">
        <v>5.78</v>
      </c>
    </row>
    <row r="13">
      <c r="A13" s="37" t="s">
        <v>132</v>
      </c>
      <c r="B13" s="37">
        <v>5.78</v>
      </c>
    </row>
    <row r="14">
      <c r="A14" s="37" t="s">
        <v>133</v>
      </c>
      <c r="B14" s="37">
        <v>6.95</v>
      </c>
    </row>
    <row r="15">
      <c r="A15" s="37" t="s">
        <v>134</v>
      </c>
      <c r="B15" s="37">
        <v>7.7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s>
  <sheetData>
    <row r="1">
      <c r="A1" s="37" t="s">
        <v>171</v>
      </c>
      <c r="B1" s="83">
        <f>sum(1,Cow!$D$6)</f>
        <v>1.425</v>
      </c>
    </row>
    <row r="2">
      <c r="A2" s="37" t="s">
        <v>172</v>
      </c>
      <c r="B2" s="83">
        <f>if(Cow!G3="TMR",1,if(Cow!G3="Hay",0.8,if(Cow!G3="Silage",0.8,if(Cow!G3="Grass",0.4,0.4))))</f>
        <v>1</v>
      </c>
    </row>
    <row r="3">
      <c r="A3" s="37" t="s">
        <v>173</v>
      </c>
      <c r="B3" s="83">
        <f>if(Cow!C6=1,0.11111111,0)</f>
        <v>0.11111111</v>
      </c>
    </row>
    <row r="4">
      <c r="A4" s="37" t="s">
        <v>174</v>
      </c>
      <c r="B4" s="83">
        <f>sum(B2,B3)</f>
        <v>1.11111111</v>
      </c>
    </row>
    <row r="6">
      <c r="A6" s="37" t="s">
        <v>175</v>
      </c>
      <c r="B6" s="83">
        <f>if(Cow!$F$3="Water Buffalo",5,1)</f>
        <v>1</v>
      </c>
    </row>
    <row r="7">
      <c r="A7" s="37" t="s">
        <v>176</v>
      </c>
      <c r="B7" s="37">
        <f>product(0.7,Var!$B$6)</f>
        <v>0.7</v>
      </c>
    </row>
    <row r="8">
      <c r="A8" s="37" t="s">
        <v>177</v>
      </c>
      <c r="B8" s="83">
        <f>if(Cow!H3="Hard",1,if(Cow!H3="Normal",1.8,3))</f>
        <v>3</v>
      </c>
    </row>
    <row r="9">
      <c r="A9" s="37" t="s">
        <v>178</v>
      </c>
      <c r="B9" s="37">
        <f>product($B$7,$B$8)</f>
        <v>2.1</v>
      </c>
    </row>
    <row r="11">
      <c r="A11" s="37" t="s">
        <v>179</v>
      </c>
      <c r="B11" s="83">
        <f>if(Cow!$I$3="Average",1.003333,1.09)</f>
        <v>1.09</v>
      </c>
    </row>
    <row r="12">
      <c r="A12" s="37" t="s">
        <v>180</v>
      </c>
      <c r="B12" s="83">
        <f>product(Var!$B$9,Var!$B$11)</f>
        <v>2.289</v>
      </c>
    </row>
    <row r="14">
      <c r="A14" s="37" t="s">
        <v>181</v>
      </c>
      <c r="B14" s="83">
        <f>if(Var!$B$15="Dairy",1,0)</f>
        <v>1</v>
      </c>
    </row>
    <row r="15">
      <c r="A15" s="37" t="s">
        <v>182</v>
      </c>
      <c r="B15" s="128" t="str">
        <f>if(Cow!$F$3="Angus","Beef",if(Cow!$F$3="Limousin","Beef","Dairy"))</f>
        <v>Dairy</v>
      </c>
    </row>
    <row r="17">
      <c r="A17" s="37" t="s">
        <v>183</v>
      </c>
      <c r="B17" s="37">
        <f>1000/1050</f>
        <v>0.9523809524</v>
      </c>
    </row>
    <row r="19">
      <c r="A19" s="37" t="s">
        <v>184</v>
      </c>
      <c r="B19" s="83">
        <f>if(Cow!G3="TMR",1,0)</f>
        <v>1</v>
      </c>
    </row>
    <row r="20">
      <c r="A20" s="37" t="s">
        <v>185</v>
      </c>
      <c r="B20" s="83">
        <f>product(3.68,Var!$B$1)</f>
        <v>5.244</v>
      </c>
    </row>
    <row r="22">
      <c r="A22" s="37" t="s">
        <v>186</v>
      </c>
      <c r="B22" s="83">
        <f>Chicken!$C$3*5</f>
        <v>480</v>
      </c>
    </row>
    <row r="23">
      <c r="A23" s="37" t="s">
        <v>187</v>
      </c>
      <c r="B23" s="83">
        <f>B22*12</f>
        <v>5760</v>
      </c>
    </row>
    <row r="24">
      <c r="A24" s="37" t="s">
        <v>188</v>
      </c>
      <c r="B24" s="83">
        <f>if(Chicken!$C$6="Baseline",1,1.25)</f>
        <v>1.25</v>
      </c>
    </row>
    <row r="25">
      <c r="A25" s="37" t="s">
        <v>189</v>
      </c>
      <c r="B25" s="37">
        <v>1.12</v>
      </c>
    </row>
    <row r="26">
      <c r="A26" s="37" t="s">
        <v>190</v>
      </c>
      <c r="B26" s="83">
        <f>$B$25*$B$24</f>
        <v>1.4</v>
      </c>
    </row>
    <row r="27">
      <c r="A27" s="37" t="s">
        <v>191</v>
      </c>
      <c r="B27" s="83">
        <f>if(Chicken!$C$5="Hard",1,if(Chicken!$C$5="Normal",1.8,3))</f>
        <v>3</v>
      </c>
    </row>
    <row r="28">
      <c r="A28" s="37" t="s">
        <v>192</v>
      </c>
      <c r="B28" s="83">
        <f>sum(1,Chicken!$C$10)</f>
        <v>1.425</v>
      </c>
    </row>
    <row r="30">
      <c r="A30" s="37" t="s">
        <v>193</v>
      </c>
      <c r="B30" s="37">
        <v>0.94</v>
      </c>
    </row>
    <row r="31">
      <c r="A31" s="37" t="s">
        <v>194</v>
      </c>
      <c r="B31" s="83">
        <f>if(Sheep!$E$15="Baseline",1,1.29)</f>
        <v>1.29</v>
      </c>
    </row>
    <row r="32">
      <c r="A32" s="37" t="s">
        <v>195</v>
      </c>
      <c r="B32" s="83">
        <f>if(Sheep!$D$15="Hard",1,if(Sheep!$D$15="Normal",1.8,3))</f>
        <v>3</v>
      </c>
    </row>
    <row r="33">
      <c r="A33" s="37" t="s">
        <v>196</v>
      </c>
      <c r="B33" s="83">
        <f>$B$30*$B$31*$B$32</f>
        <v>3.6378</v>
      </c>
    </row>
    <row r="34">
      <c r="A34" s="37" t="s">
        <v>197</v>
      </c>
      <c r="B34" s="37">
        <v>48.5588235294117</v>
      </c>
    </row>
    <row r="35">
      <c r="A35" s="37" t="s">
        <v>198</v>
      </c>
      <c r="B35" s="37">
        <v>58.8235294117647</v>
      </c>
    </row>
    <row r="36">
      <c r="A36" s="37" t="s">
        <v>199</v>
      </c>
      <c r="B36" s="83">
        <f>sum(1,Sheep!$B$15)</f>
        <v>1.425</v>
      </c>
    </row>
    <row r="37">
      <c r="A37" s="37" t="s">
        <v>200</v>
      </c>
      <c r="B37" s="37">
        <v>2.82</v>
      </c>
    </row>
    <row r="38">
      <c r="A38" s="37" t="s">
        <v>201</v>
      </c>
      <c r="B38" s="37">
        <f>if(Sheep!$E$15="Baseline",1,1.08)</f>
        <v>1.08</v>
      </c>
    </row>
    <row r="39">
      <c r="A39" s="37" t="s">
        <v>202</v>
      </c>
      <c r="B39" s="83">
        <f>$B$37*$B$38*$B$32</f>
        <v>9.1368</v>
      </c>
    </row>
    <row r="41">
      <c r="A41" s="37" t="s">
        <v>203</v>
      </c>
      <c r="B41" s="37">
        <v>61.8181818181818</v>
      </c>
    </row>
    <row r="42">
      <c r="A42" s="37" t="s">
        <v>204</v>
      </c>
      <c r="B42" s="83">
        <f>sum(1,Pig!$C$9)</f>
        <v>1.425</v>
      </c>
    </row>
    <row r="43">
      <c r="A43" s="37" t="s">
        <v>205</v>
      </c>
      <c r="B43" s="83">
        <f>Var!$B$48*0.5</f>
        <v>11869.09091</v>
      </c>
    </row>
    <row r="44">
      <c r="A44" s="37" t="s">
        <v>206</v>
      </c>
      <c r="B44" s="83">
        <f>Var!$B$48*0.25</f>
        <v>5934.545455</v>
      </c>
    </row>
    <row r="45">
      <c r="A45" s="37" t="s">
        <v>207</v>
      </c>
      <c r="B45" s="83">
        <f>Var!$B$48*0.2</f>
        <v>4747.636364</v>
      </c>
    </row>
    <row r="46">
      <c r="A46" s="37" t="s">
        <v>208</v>
      </c>
      <c r="B46" s="83">
        <f>Var!$B$48*0.05</f>
        <v>1186.909091</v>
      </c>
    </row>
    <row r="47">
      <c r="A47" s="37" t="s">
        <v>209</v>
      </c>
      <c r="B47" s="129">
        <f>Pig!$B$9*Var!$B$41</f>
        <v>1978.181818</v>
      </c>
    </row>
    <row r="48">
      <c r="A48" s="37" t="s">
        <v>210</v>
      </c>
      <c r="B48" s="129">
        <f>Var!$B$47*12</f>
        <v>23738.18182</v>
      </c>
    </row>
    <row r="50">
      <c r="A50" s="37" t="s">
        <v>211</v>
      </c>
      <c r="B50" s="37">
        <v>95.25</v>
      </c>
    </row>
    <row r="51">
      <c r="A51" s="37" t="s">
        <v>212</v>
      </c>
      <c r="B51" s="37">
        <v>285.75</v>
      </c>
    </row>
    <row r="52">
      <c r="A52" s="37" t="s">
        <v>213</v>
      </c>
      <c r="B52" s="37">
        <v>19.0625</v>
      </c>
    </row>
    <row r="53">
      <c r="A53" s="37" t="s">
        <v>214</v>
      </c>
      <c r="B53" s="83">
        <f>sum(1,Horse!$C$4)</f>
        <v>1.425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19.25"/>
    <col customWidth="1" min="3" max="3" width="18.38"/>
    <col customWidth="1" min="4" max="4" width="14.75"/>
  </cols>
  <sheetData>
    <row r="1">
      <c r="A1" s="37" t="s">
        <v>215</v>
      </c>
      <c r="B1" s="37" t="s">
        <v>216</v>
      </c>
      <c r="C1" s="37" t="s">
        <v>217</v>
      </c>
      <c r="D1" s="37" t="s">
        <v>218</v>
      </c>
    </row>
    <row r="2">
      <c r="A2" s="37" t="s">
        <v>16</v>
      </c>
      <c r="B2" s="83">
        <f>Cow!$D$11*-1*Cow!$F$7</f>
        <v>1572.48</v>
      </c>
      <c r="C2" s="83">
        <f>$B2*Var!$B$19</f>
        <v>1572.48</v>
      </c>
      <c r="D2" s="83">
        <f t="shared" ref="D2:D5" si="1">product($C2,12)</f>
        <v>18869.76</v>
      </c>
    </row>
    <row r="3">
      <c r="A3" s="37" t="s">
        <v>17</v>
      </c>
      <c r="B3" s="83">
        <f>Cow!$D$11*-1*Cow!$G$7</f>
        <v>1572.48</v>
      </c>
      <c r="C3" s="83">
        <f>$B3*Var!$B$19</f>
        <v>1572.48</v>
      </c>
      <c r="D3" s="83">
        <f t="shared" si="1"/>
        <v>18869.76</v>
      </c>
    </row>
    <row r="4">
      <c r="A4" s="37" t="s">
        <v>18</v>
      </c>
      <c r="B4" s="83">
        <f>Cow!$D$11*-1*Cow!$H$7</f>
        <v>853.44</v>
      </c>
      <c r="C4" s="83">
        <f>$B4*Var!$B$19</f>
        <v>853.44</v>
      </c>
      <c r="D4" s="83">
        <f t="shared" si="1"/>
        <v>10241.28</v>
      </c>
    </row>
    <row r="5">
      <c r="A5" s="37" t="s">
        <v>19</v>
      </c>
      <c r="B5" s="37">
        <f>Cow!$D$11*-1*Cow!$I$7</f>
        <v>201.6</v>
      </c>
      <c r="C5" s="83">
        <f>$B5*Var!$B$19</f>
        <v>201.6</v>
      </c>
      <c r="D5" s="83">
        <f t="shared" si="1"/>
        <v>2419.2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88"/>
    <col customWidth="1" min="4" max="4" width="20.75"/>
    <col customWidth="1" min="5" max="5" width="22.5"/>
    <col customWidth="1" min="6" max="6" width="22.38"/>
    <col customWidth="1" min="7" max="7" width="18.38"/>
    <col customWidth="1" min="8" max="8" width="16.63"/>
  </cols>
  <sheetData>
    <row r="1">
      <c r="A1" s="37" t="s">
        <v>219</v>
      </c>
      <c r="B1" s="37" t="s">
        <v>220</v>
      </c>
      <c r="C1" s="37" t="s">
        <v>221</v>
      </c>
    </row>
    <row r="2">
      <c r="A2" s="37">
        <v>1.0</v>
      </c>
      <c r="B2" s="87" t="s">
        <v>222</v>
      </c>
      <c r="C2" s="37">
        <v>1.06</v>
      </c>
    </row>
    <row r="3">
      <c r="A3" s="37">
        <v>2.0</v>
      </c>
      <c r="B3" s="87" t="s">
        <v>223</v>
      </c>
      <c r="C3" s="37">
        <v>1.01</v>
      </c>
    </row>
    <row r="4">
      <c r="A4" s="37">
        <v>3.0</v>
      </c>
      <c r="B4" s="87" t="s">
        <v>224</v>
      </c>
      <c r="C4" s="37">
        <v>0.96</v>
      </c>
    </row>
    <row r="5">
      <c r="A5" s="37">
        <v>4.0</v>
      </c>
      <c r="B5" s="87" t="s">
        <v>225</v>
      </c>
      <c r="C5" s="37">
        <v>0.9</v>
      </c>
    </row>
    <row r="6">
      <c r="A6" s="37">
        <v>5.0</v>
      </c>
      <c r="B6" s="87" t="s">
        <v>226</v>
      </c>
      <c r="C6" s="37">
        <v>0.95</v>
      </c>
    </row>
    <row r="7">
      <c r="A7" s="37">
        <v>6.0</v>
      </c>
      <c r="B7" s="87" t="s">
        <v>227</v>
      </c>
      <c r="C7" s="37">
        <v>0.95</v>
      </c>
    </row>
    <row r="8">
      <c r="A8" s="37">
        <v>7.0</v>
      </c>
      <c r="B8" s="87" t="s">
        <v>228</v>
      </c>
      <c r="C8" s="37">
        <v>1.03</v>
      </c>
    </row>
    <row r="9">
      <c r="A9" s="37">
        <v>8.0</v>
      </c>
      <c r="B9" s="87" t="s">
        <v>229</v>
      </c>
      <c r="C9" s="37">
        <v>1.09</v>
      </c>
    </row>
    <row r="10">
      <c r="A10" s="37">
        <v>9.0</v>
      </c>
      <c r="B10" s="87" t="s">
        <v>230</v>
      </c>
      <c r="C10" s="37">
        <v>0.98</v>
      </c>
    </row>
    <row r="11">
      <c r="A11" s="37">
        <v>10.0</v>
      </c>
      <c r="B11" s="87" t="s">
        <v>231</v>
      </c>
      <c r="C11" s="37">
        <v>0.96</v>
      </c>
    </row>
    <row r="12">
      <c r="A12" s="37">
        <v>11.0</v>
      </c>
      <c r="B12" s="87" t="s">
        <v>232</v>
      </c>
      <c r="C12" s="37">
        <v>1.08</v>
      </c>
    </row>
    <row r="13">
      <c r="A13" s="37">
        <v>12.0</v>
      </c>
      <c r="B13" s="87" t="s">
        <v>233</v>
      </c>
      <c r="C13" s="37">
        <v>1.07</v>
      </c>
    </row>
    <row r="14">
      <c r="C14" s="83">
        <f>AVERAGE(C2:C13)</f>
        <v>1.003333333</v>
      </c>
      <c r="D14" s="37" t="s">
        <v>234</v>
      </c>
    </row>
    <row r="15">
      <c r="C15" s="83">
        <f>MAX(C2:C13)</f>
        <v>1.09</v>
      </c>
      <c r="D15" s="37" t="s">
        <v>235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63"/>
    <col customWidth="1" min="5" max="5" width="13.25"/>
    <col customWidth="1" min="6" max="6" width="21.38"/>
  </cols>
  <sheetData>
    <row r="1">
      <c r="B1" s="37" t="s">
        <v>102</v>
      </c>
    </row>
    <row r="2">
      <c r="A2" s="40" t="s">
        <v>26</v>
      </c>
      <c r="B2" s="25">
        <f>if(Var!$B$14,if(Cow!$F$3="Water Buffalo",27,135),0)</f>
        <v>135</v>
      </c>
      <c r="C2" s="130"/>
    </row>
    <row r="3">
      <c r="A3" s="40" t="s">
        <v>32</v>
      </c>
      <c r="B3" s="25">
        <f>if(Var!$B$14,-350,-550)</f>
        <v>-350</v>
      </c>
      <c r="C3" s="25"/>
    </row>
    <row r="4">
      <c r="A4" s="40" t="s">
        <v>33</v>
      </c>
      <c r="B4" s="25">
        <v>250.0</v>
      </c>
      <c r="C4" s="25"/>
    </row>
    <row r="5">
      <c r="A5" s="40" t="s">
        <v>34</v>
      </c>
      <c r="B5" s="25">
        <f>product($B$7,Cow!$C$6)</f>
        <v>200</v>
      </c>
      <c r="C5" s="25"/>
    </row>
    <row r="6">
      <c r="A6" s="40" t="s">
        <v>18</v>
      </c>
      <c r="B6" s="25">
        <f>product($B$8,Cow!$C$6)</f>
        <v>-95</v>
      </c>
      <c r="C6" s="25"/>
    </row>
    <row r="7">
      <c r="A7" s="37" t="s">
        <v>236</v>
      </c>
      <c r="B7" s="37">
        <f>if(Var!$B$14,200,300)</f>
        <v>200</v>
      </c>
    </row>
    <row r="8">
      <c r="A8" s="37" t="s">
        <v>237</v>
      </c>
      <c r="B8" s="37">
        <f>if(Var!$B$14=1,-95,-135)</f>
        <v>-95</v>
      </c>
    </row>
  </sheetData>
  <drawing r:id="rId1"/>
</worksheet>
</file>